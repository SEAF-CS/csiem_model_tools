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wopi.dropbox.com/wopi/files/oid_11456031660881198080/WOPIServiceId_TP_DROPBOX_PLUS/WOPIUserId_-/"/>
    </mc:Choice>
  </mc:AlternateContent>
  <xr:revisionPtr revIDLastSave="1" documentId="13_ncr:1_{55A52D9A-C373-4F03-80E1-D6BD25A3C47B}" xr6:coauthVersionLast="47" xr6:coauthVersionMax="47" xr10:uidLastSave="{9463DDC9-AA7E-419A-A1C1-1A5528CCB937}"/>
  <bookViews>
    <workbookView xWindow="-120" yWindow="-120" windowWidth="29040" windowHeight="15840" firstSheet="1" activeTab="4" xr2:uid="{3469CC1B-01F3-4EF4-A6C3-F63DE80D718E}"/>
  </bookViews>
  <sheets>
    <sheet name="Metadata" sheetId="3" r:id="rId1"/>
    <sheet name="Methods" sheetId="6" r:id="rId2"/>
    <sheet name="SiteDetails" sheetId="1" r:id="rId3"/>
    <sheet name="InSituParameters" sheetId="2" r:id="rId4"/>
    <sheet name="MAFRL_samples" sheetId="4" r:id="rId5"/>
    <sheet name="CCWA_samples"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2" i="4" l="1"/>
  <c r="Q2"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4" i="4"/>
</calcChain>
</file>

<file path=xl/sharedStrings.xml><?xml version="1.0" encoding="utf-8"?>
<sst xmlns="http://schemas.openxmlformats.org/spreadsheetml/2006/main" count="2286" uniqueCount="503">
  <si>
    <t>Field</t>
  </si>
  <si>
    <t>Value</t>
  </si>
  <si>
    <t>Title</t>
  </si>
  <si>
    <t>The items full title.</t>
  </si>
  <si>
    <t>Dataset: WAMSI Westport Marine Science Program – Project 3.3 Porewater</t>
  </si>
  <si>
    <t>Description</t>
  </si>
  <si>
    <t>A description of the dataset. Further information or caveats pertaining to the data can be included here.</t>
  </si>
  <si>
    <t>Porewater sampling locations (beach and offshore) with water quality data</t>
  </si>
  <si>
    <t>Author</t>
  </si>
  <si>
    <t>The name of the person or group who authored the report and the electronic data files</t>
  </si>
  <si>
    <t>CSIRO; Mike Donn, Andrew Furness, Rob Woodbury, John Rayner, Steve Fisher</t>
  </si>
  <si>
    <t>Year</t>
  </si>
  <si>
    <t>The data/report’s year of publication.</t>
  </si>
  <si>
    <t>Survey type</t>
  </si>
  <si>
    <t>A description of the type of field survey(s) in the report.</t>
  </si>
  <si>
    <t>Beach and offshore porewater survey</t>
  </si>
  <si>
    <t>Proponent</t>
  </si>
  <si>
    <t>The name of the proponent the report was prepared for.</t>
  </si>
  <si>
    <t>WA Department of Transport</t>
  </si>
  <si>
    <t>Proposal</t>
  </si>
  <si>
    <t>The name of the proposal, project or area the report was prepared for.</t>
  </si>
  <si>
    <t>Westport Program</t>
  </si>
  <si>
    <t>Start date</t>
  </si>
  <si>
    <t>The commencement date of the first field survey in the report.</t>
  </si>
  <si>
    <t>End date</t>
  </si>
  <si>
    <t>The conclusion date of the last field survey in the report.</t>
  </si>
  <si>
    <t>Tags</t>
  </si>
  <si>
    <t>Some tags (or keywords) that describe your data.</t>
  </si>
  <si>
    <t>porewater, nutrients, nitrogen, phosphorus, ammonium, nitrate, nitrite, soluble reactive phosphorus, dissolved organic carbon, major ions, pH, electrical conductivity</t>
  </si>
  <si>
    <t>Dataset contact</t>
  </si>
  <si>
    <t>The preferred first point of contact for questions about the dataset.</t>
  </si>
  <si>
    <t>Mike Donn</t>
  </si>
  <si>
    <t>Dataset Contact Email</t>
  </si>
  <si>
    <t>The email of the preferred first point of contact for questions about the dataset.</t>
  </si>
  <si>
    <t>michael.donn@csiro.au</t>
  </si>
  <si>
    <t>Data Theme</t>
  </si>
  <si>
    <t xml:space="preserve">The AGIFT top level government function to which the dataset relates. Select one from below: </t>
  </si>
  <si>
    <t>SCIENTIFIC RESEARCH</t>
  </si>
  <si>
    <t>BUSINESS SUPPORT &amp; REGULATION</t>
  </si>
  <si>
    <t>CIVIC INFRASTRUCTURE</t>
  </si>
  <si>
    <t>COMMUNICATIONS</t>
  </si>
  <si>
    <t>COMMUNITY SERVICES</t>
  </si>
  <si>
    <t>CULTURAL AFFAIRS</t>
  </si>
  <si>
    <t>DEFENCE</t>
  </si>
  <si>
    <t>EDUCATION AND TRAINING</t>
  </si>
  <si>
    <t>EMPLOYMENT</t>
  </si>
  <si>
    <t>ENVIRONMENT</t>
  </si>
  <si>
    <t>FINANCE MANAGEMENT</t>
  </si>
  <si>
    <t>GOVERNANCE</t>
  </si>
  <si>
    <t>HEALTH CARE</t>
  </si>
  <si>
    <t>IMMIGRATION</t>
  </si>
  <si>
    <t>INDIGENOUS AFFAIRS</t>
  </si>
  <si>
    <t>INTERNATIONAL RELATIONS</t>
  </si>
  <si>
    <t>JUSTICE ADMINISTRATION</t>
  </si>
  <si>
    <t>MARITIME SERVICES</t>
  </si>
  <si>
    <t>NATURAL RESOURCES</t>
  </si>
  <si>
    <t>PRIMARY INDUSTRIES</t>
  </si>
  <si>
    <t>SCIENCE</t>
  </si>
  <si>
    <t>SECURITY</t>
  </si>
  <si>
    <t>SPORT AND RECREATION</t>
  </si>
  <si>
    <t>STATISTICAL SERVICES</t>
  </si>
  <si>
    <t>TOURISM</t>
  </si>
  <si>
    <t>TRADE</t>
  </si>
  <si>
    <t>TRANSPORT</t>
  </si>
  <si>
    <t>Geospatial Theme</t>
  </si>
  <si>
    <t>A broad geographic data theme to assist in the organisation of geographic / location datasets based on the ISO19115 Topic Categories. Choose all that apply:</t>
  </si>
  <si>
    <t>oceans</t>
  </si>
  <si>
    <t>biota</t>
  </si>
  <si>
    <t>boundaries</t>
  </si>
  <si>
    <t>climatologyMeteorologyAtmosphere</t>
  </si>
  <si>
    <t>disaster</t>
  </si>
  <si>
    <t>economy</t>
  </si>
  <si>
    <t>elevation</t>
  </si>
  <si>
    <t>environment</t>
  </si>
  <si>
    <t>extraTerrestrial</t>
  </si>
  <si>
    <t>farming</t>
  </si>
  <si>
    <t>geoscientificInformation</t>
  </si>
  <si>
    <t>imageryBaseMapsEarthCover</t>
  </si>
  <si>
    <t>inlandWaters</t>
  </si>
  <si>
    <t>intelligenceMilitary</t>
  </si>
  <si>
    <t>location</t>
  </si>
  <si>
    <t>planningCadastre</t>
  </si>
  <si>
    <t>society</t>
  </si>
  <si>
    <t>structure</t>
  </si>
  <si>
    <t>transportation</t>
  </si>
  <si>
    <t>utilitiesCommunication</t>
  </si>
  <si>
    <t>Temporal Coverage From</t>
  </si>
  <si>
    <t>The span of time from the data is applicable. If the data applies only to a single point in time you should only fill in the Temporal Coverage From field.</t>
  </si>
  <si>
    <t>Temporal Coverage To</t>
  </si>
  <si>
    <t>The span of time to which the data is applicable. If the data applies only to a single point in time you should only fill in the Temporal Coverage From field.</t>
  </si>
  <si>
    <t>Citation</t>
  </si>
  <si>
    <t>The preferred citation for the report and electronic data files. This citation may be used by others in referencing the work.</t>
  </si>
  <si>
    <r>
      <t xml:space="preserve">e.g.,Pattiaratchi, C. (2022). </t>
    </r>
    <r>
      <rPr>
        <i/>
        <sz val="10"/>
        <color theme="1"/>
        <rFont val="Aptos Narrow"/>
        <family val="2"/>
        <scheme val="minor"/>
      </rPr>
      <t>WAMSI Westport Marine Science Program – Theme 5 – Hydrodynamic Modelling Field Data</t>
    </r>
    <r>
      <rPr>
        <sz val="10"/>
        <color theme="1"/>
        <rFont val="Aptos Narrow"/>
        <family val="2"/>
        <scheme val="minor"/>
      </rPr>
      <t xml:space="preserve"> [Data set]. State of Western Australia. </t>
    </r>
  </si>
  <si>
    <t>Geospatial</t>
  </si>
  <si>
    <t>The projection this dataset is stored in prior to any retransformation for delivery over the internet.</t>
  </si>
  <si>
    <t>WGS84</t>
  </si>
  <si>
    <t>Source Projection</t>
  </si>
  <si>
    <t>Spatial Coverage</t>
  </si>
  <si>
    <t>The geographic area covered by the dataset. Bounding box coordinates in geographic or project coordinate system.</t>
  </si>
  <si>
    <t>North: -32.276669</t>
  </si>
  <si>
    <t>South: -32.137348</t>
  </si>
  <si>
    <t>East: 115.68404</t>
  </si>
  <si>
    <t>West: 115.775269</t>
  </si>
  <si>
    <t>List of electronic data files</t>
  </si>
  <si>
    <t>The name of each electronic data file accompanying the report in the Westport deliverable package. For files that exist in sets, for example shapefiles, only list a single file name for each set.</t>
  </si>
  <si>
    <t>Beach porewater survey (Nov 2022 / Jan 2023)</t>
  </si>
  <si>
    <t>The beach porewater survey was conducted to provide an update of and a comparison to a similar survey conducted by Smith et al. (2003) in which beach porewaters were sampled in February 2002.</t>
  </si>
  <si>
    <t>Porewater samples were collected from the eastern shoreline of Cockburn Sound over two campaigns, November 2022 and January 2023. Porewater was sampled at 81 locations between Woodman Point and Mangles Bay along with 5 seawater samples. Duplicate porewater samples were collected at 5 sites (one each sampling day) with repeat samples collected on different days from 1 site at approximately the same location.</t>
  </si>
  <si>
    <t>The beach porewater samples were collected from a depth of ~50 cm below the seabed and within 10 m of the shoreline using a spear probe. The spear probe consisted of a machined stainless steel tip with a small (~2 mm) screen consisting of four holes attached to a stainless steel tube. The spear probe was initially manually inserted and then driven to the required depth using a small mallet. The tip was connected to a length of nylon tubing that ran through the inside the body of the spear probe. Samples were extracted through the tube from the sediment using a syringe and were run through a flow cell containing an electrical conductivity (EC) probe (WTW Cond 3310 TetraCond 325) and a pH probe (WTW pH 3310 Sentix 41). The sample line was purged, and EC, pH and temperature measurements taken when readings were stable. A sample was then collected for analysis. Where required samples were filtered through a 0.45 μm nylon membrane filter and all samples were stored on ice before refrigerating at 4oC at the end of each day.</t>
  </si>
  <si>
    <t>Samples were sent to the Marine and Freshwater Research Laboratory at Murdoch University for analysis. All samples were analysed for pH, EC, total dissolved nitrogen (TDN), ammonium-N (NH4-N), nitrate + nitrite-N (NOx-N), total dissolved phosphorus (TDP), soluble reactive phosphorus (SRP), dissolved organic carbon (DOC), chloride (Cl), sulfate (SO4), total alkalinity, sodium (Na), potassium (K), calcium (Ca), magnesium (Mg), iron (Fe) and boron (B). Since all laboratory pH were ≤8.3, the total alkalinity was converted to bicarbonate (HCO3).</t>
  </si>
  <si>
    <t>Beach porewater infill survey (Jun 2024)</t>
  </si>
  <si>
    <t>An additional survey was undertaken to infill a ~200 m section of the coastline south of the Fremantle Ports Kwinana Bulk Jetty, including two transects perpendicular to the coastline. Porewater samples were collected from 23 locations using the same techniques as pervious, along with one seawater sample.</t>
  </si>
  <si>
    <t>Samples were sent to the Chemistry Centre of Western Australia for analysis. All samples were analysed for pH, EC, total dissolved nitrogen (TDN), ammonium-N (NH4-N), nitrate + nitrite-N (NOx-N), nitrate-N (NO3-N), nitrite-N (NO2-N), total dissolved phosphorus (TDP), soluble reactive phosphorus (P_SR), dissolved organic carbon (DOC), chloride (Cl), sulfate (SO4), total alkalinity, bicarbonate (HCO3), carbonate (CO3), sodium (Na), potassium (K), calcium (Ca), magnesium (Mg), aluminium (Al), iron (Fe) and manganese (Mn).</t>
  </si>
  <si>
    <t>Offshore porewater survey (Dec 2023 and Apr 2024)</t>
  </si>
  <si>
    <t>Two surveys were conducted offshore from the deck of the CSIRO research vessel, BF Ryan. The boat was positioned over the sampling site and held in place by a bow mounted trolling motor while sampling.</t>
  </si>
  <si>
    <t>For water depths less than 5 m the spear probe was depoyed off the back of the boat and driven into the seabed using a small mallet. At locations deeper than 5 m a purpose build slide hammer positioned 1.2 m from the base of the spear probe was used to drive the probe into the seabed. A sampling depth of ~0.5 m was used as for the beach porewater survey. The same tip was used for the December 2023 offshore porewater survey as was used for the beach porewater collection. However due to the clogging of the small diameter inlet a different probe tip with a greater surface area (a series of 28 x 15 mm screened holes over 20 cm depth interval) was used for the April 2024 sampling round. Despite the increase in sampling area there were still locations where no porewater could be extracted due to clogging with fine sediments.</t>
  </si>
  <si>
    <t>Over the two sampling campaigns porewater was collected from 33 locations, along with one seawater sample for each campaign. Samples were extracted and in-situ parameters measured as for the beach porewater sampling. Water depth was measured using a depth sounder and reported as depth from sea surface.</t>
  </si>
  <si>
    <t>SiteID</t>
  </si>
  <si>
    <t>SampleID</t>
  </si>
  <si>
    <t>Date</t>
  </si>
  <si>
    <t>Time</t>
  </si>
  <si>
    <t>Latitude</t>
  </si>
  <si>
    <t>Longitude</t>
  </si>
  <si>
    <t>Datum</t>
  </si>
  <si>
    <t>SampleType</t>
  </si>
  <si>
    <t>QA-QC samples</t>
  </si>
  <si>
    <t>Comment</t>
  </si>
  <si>
    <t>CS_PW001</t>
  </si>
  <si>
    <t>PW22-1</t>
  </si>
  <si>
    <t>Beach porewater</t>
  </si>
  <si>
    <t>CS_PW002</t>
  </si>
  <si>
    <t>PW22-2</t>
  </si>
  <si>
    <t>CS_PW003</t>
  </si>
  <si>
    <t>PW22-3</t>
  </si>
  <si>
    <t>CS_PW004</t>
  </si>
  <si>
    <t>PW22-4</t>
  </si>
  <si>
    <t>CS_PW005</t>
  </si>
  <si>
    <t>PW22-5</t>
  </si>
  <si>
    <t>45 cm sample depth, hard, limestone?</t>
  </si>
  <si>
    <t>CS_PW006</t>
  </si>
  <si>
    <t>PW22-6</t>
  </si>
  <si>
    <t>CS_PW007</t>
  </si>
  <si>
    <t>PW22-7</t>
  </si>
  <si>
    <t>CS_PW008</t>
  </si>
  <si>
    <t>PW22-8</t>
  </si>
  <si>
    <t>CS_PW009</t>
  </si>
  <si>
    <t>PW22-9</t>
  </si>
  <si>
    <t>CS_PW010</t>
  </si>
  <si>
    <t>PW22-10</t>
  </si>
  <si>
    <t>CS_PW011</t>
  </si>
  <si>
    <t>PW22-11</t>
  </si>
  <si>
    <t>CS_PW012</t>
  </si>
  <si>
    <t>PW22-12</t>
  </si>
  <si>
    <t>CS_PW013</t>
  </si>
  <si>
    <t>PW22-13</t>
  </si>
  <si>
    <t>CS_PW014</t>
  </si>
  <si>
    <t>PW22-14</t>
  </si>
  <si>
    <t>CS_PW015</t>
  </si>
  <si>
    <t>PW22-15</t>
  </si>
  <si>
    <t>CS_PW016</t>
  </si>
  <si>
    <t>PW22-16</t>
  </si>
  <si>
    <t>CS_PW017</t>
  </si>
  <si>
    <t>PW22-17</t>
  </si>
  <si>
    <t>Shallow sample 20 cm, limestone</t>
  </si>
  <si>
    <t>CS_PW018</t>
  </si>
  <si>
    <t>PW22-18</t>
  </si>
  <si>
    <t>PW22-19</t>
  </si>
  <si>
    <t>Field duplicate sample of PW22-18</t>
  </si>
  <si>
    <t>duplicate</t>
  </si>
  <si>
    <t>CS_PW019</t>
  </si>
  <si>
    <t>PW22-20</t>
  </si>
  <si>
    <t>PW22-21</t>
  </si>
  <si>
    <t>Seawater</t>
  </si>
  <si>
    <t>seawater</t>
  </si>
  <si>
    <t>CS_PW020</t>
  </si>
  <si>
    <t>PW22-22</t>
  </si>
  <si>
    <t>CS_PW021</t>
  </si>
  <si>
    <t>PW22-23</t>
  </si>
  <si>
    <t>CS_PW022</t>
  </si>
  <si>
    <t>PW22-24</t>
  </si>
  <si>
    <t>CS_PW023</t>
  </si>
  <si>
    <t>PW22-25</t>
  </si>
  <si>
    <t>CS_PW024</t>
  </si>
  <si>
    <t>PW22-26</t>
  </si>
  <si>
    <t>CS_PW025</t>
  </si>
  <si>
    <t>PW22-27</t>
  </si>
  <si>
    <t>CS_PW026</t>
  </si>
  <si>
    <t>PW22-28</t>
  </si>
  <si>
    <t>CS_PW027</t>
  </si>
  <si>
    <t>PW22-29</t>
  </si>
  <si>
    <t>CS_PW028</t>
  </si>
  <si>
    <t>PW22-30</t>
  </si>
  <si>
    <t>CS_PW029</t>
  </si>
  <si>
    <t>PW22-31</t>
  </si>
  <si>
    <t>CS_PW030</t>
  </si>
  <si>
    <t>PW22-32</t>
  </si>
  <si>
    <t>CS_PW031</t>
  </si>
  <si>
    <t>PW22-33</t>
  </si>
  <si>
    <t>CS_PW032</t>
  </si>
  <si>
    <t>PW22-34</t>
  </si>
  <si>
    <t>CS_PW033</t>
  </si>
  <si>
    <t>PW22-35</t>
  </si>
  <si>
    <t>CS_PW034</t>
  </si>
  <si>
    <t>PW22-36</t>
  </si>
  <si>
    <t>CS_PW035</t>
  </si>
  <si>
    <t>PW22-37</t>
  </si>
  <si>
    <t>CS_PW036</t>
  </si>
  <si>
    <t>PW22-38</t>
  </si>
  <si>
    <t>PW22-39</t>
  </si>
  <si>
    <t>Field duplicate sample of PW22-38</t>
  </si>
  <si>
    <t>CS_PW037</t>
  </si>
  <si>
    <t>PW22-40</t>
  </si>
  <si>
    <t>CS_PW038</t>
  </si>
  <si>
    <t>PW22-41</t>
  </si>
  <si>
    <t>CS_PW039</t>
  </si>
  <si>
    <t>PW22-42</t>
  </si>
  <si>
    <t>CS_PW040</t>
  </si>
  <si>
    <t>PW22-43</t>
  </si>
  <si>
    <t>CS_PW041</t>
  </si>
  <si>
    <t>PW22-45</t>
  </si>
  <si>
    <t>CS_PW042</t>
  </si>
  <si>
    <t>PW22-46</t>
  </si>
  <si>
    <t>PW22-47</t>
  </si>
  <si>
    <t>Repeat field sample</t>
  </si>
  <si>
    <t xml:space="preserve">Background location 93 (toilets) </t>
  </si>
  <si>
    <t>PW22-48</t>
  </si>
  <si>
    <t>CS_PW043</t>
  </si>
  <si>
    <t>PW22-49</t>
  </si>
  <si>
    <t>CS_PW044</t>
  </si>
  <si>
    <t>PW22-50</t>
  </si>
  <si>
    <t>CS_PW045</t>
  </si>
  <si>
    <t>PW22-51</t>
  </si>
  <si>
    <t>CS_PW046</t>
  </si>
  <si>
    <t>PW22-52</t>
  </si>
  <si>
    <t>CS_PW047</t>
  </si>
  <si>
    <t>PW22-53</t>
  </si>
  <si>
    <t>CS_PW048</t>
  </si>
  <si>
    <t>PW22-54</t>
  </si>
  <si>
    <t>CS_PW049</t>
  </si>
  <si>
    <t>PW22-55</t>
  </si>
  <si>
    <t>CS_PW050</t>
  </si>
  <si>
    <t>PW22-56</t>
  </si>
  <si>
    <t>CS_PW051</t>
  </si>
  <si>
    <t>PW22-57</t>
  </si>
  <si>
    <t>PW22-58</t>
  </si>
  <si>
    <t>Field duplicate sample of PW22-57</t>
  </si>
  <si>
    <t>DUPLICATE</t>
  </si>
  <si>
    <t>CS_PW052</t>
  </si>
  <si>
    <t>PW22-59</t>
  </si>
  <si>
    <t>CS_PW053</t>
  </si>
  <si>
    <t>PW22-60</t>
  </si>
  <si>
    <t>CS_PW054</t>
  </si>
  <si>
    <t>PW22-61</t>
  </si>
  <si>
    <t>CS_PW055</t>
  </si>
  <si>
    <t>PW22-62</t>
  </si>
  <si>
    <t>CS_PW056</t>
  </si>
  <si>
    <t>PW22-63</t>
  </si>
  <si>
    <t>CS_PW057</t>
  </si>
  <si>
    <t>PW22-64</t>
  </si>
  <si>
    <t>CS_PW058</t>
  </si>
  <si>
    <t>PW22-65</t>
  </si>
  <si>
    <t>CS_PW059</t>
  </si>
  <si>
    <t>PW22-66</t>
  </si>
  <si>
    <t>CS_PW060</t>
  </si>
  <si>
    <t>PW22-67</t>
  </si>
  <si>
    <t>PW22-68</t>
  </si>
  <si>
    <t>SEAWATER</t>
  </si>
  <si>
    <t>PW22-69</t>
  </si>
  <si>
    <t>BACKGROUND</t>
  </si>
  <si>
    <t>CS_PW061</t>
  </si>
  <si>
    <t>PW22-70</t>
  </si>
  <si>
    <t>CS_PW062</t>
  </si>
  <si>
    <t>PW22-71</t>
  </si>
  <si>
    <t>CS_PW063</t>
  </si>
  <si>
    <t>PW22-72</t>
  </si>
  <si>
    <t>CS_PW064</t>
  </si>
  <si>
    <t>PW22-73</t>
  </si>
  <si>
    <t>CS_PW065</t>
  </si>
  <si>
    <t>PW22-74</t>
  </si>
  <si>
    <t>CS_PW066</t>
  </si>
  <si>
    <t>PW22-75</t>
  </si>
  <si>
    <t>CS_PW067</t>
  </si>
  <si>
    <t>PW22-76</t>
  </si>
  <si>
    <t>PW22-77</t>
  </si>
  <si>
    <t>Field duplicate sample of PW22-76</t>
  </si>
  <si>
    <t>CS_PW068</t>
  </si>
  <si>
    <t>PW22-78</t>
  </si>
  <si>
    <t>CS_PW069</t>
  </si>
  <si>
    <t>PW22-79</t>
  </si>
  <si>
    <t>CS_PW070</t>
  </si>
  <si>
    <t>PW22-80</t>
  </si>
  <si>
    <t>CS_PW071</t>
  </si>
  <si>
    <t>PW22-81</t>
  </si>
  <si>
    <t>CS_PW072</t>
  </si>
  <si>
    <t>PW22-82</t>
  </si>
  <si>
    <t>CS_PW073</t>
  </si>
  <si>
    <t>PW22-83</t>
  </si>
  <si>
    <t>CS_PW074</t>
  </si>
  <si>
    <t>PW22-84</t>
  </si>
  <si>
    <t>PW22-85</t>
  </si>
  <si>
    <t>CS_PW075</t>
  </si>
  <si>
    <t>PW22-86</t>
  </si>
  <si>
    <t>CS_PW076</t>
  </si>
  <si>
    <t>PW22-87</t>
  </si>
  <si>
    <t>CS_PW077</t>
  </si>
  <si>
    <t>PW22-88</t>
  </si>
  <si>
    <t>CS_PW078</t>
  </si>
  <si>
    <t>PW22-89</t>
  </si>
  <si>
    <t>CS_PW079</t>
  </si>
  <si>
    <t>PW22-90</t>
  </si>
  <si>
    <t>Field duplicate sample of PW22-89</t>
  </si>
  <si>
    <t>PW22-91</t>
  </si>
  <si>
    <t>CS_PW080</t>
  </si>
  <si>
    <t>PW22-92</t>
  </si>
  <si>
    <t>CS_PW081</t>
  </si>
  <si>
    <t>PW22-93</t>
  </si>
  <si>
    <t>Sample ~0.75 m deep</t>
  </si>
  <si>
    <t>PW22-94</t>
  </si>
  <si>
    <t>PW22-95</t>
  </si>
  <si>
    <t>PW24-01</t>
  </si>
  <si>
    <t xml:space="preserve">Background, low tide. </t>
  </si>
  <si>
    <t>CS_PW082</t>
  </si>
  <si>
    <t>PW24-02</t>
  </si>
  <si>
    <t>Repeat field sample CS_PW41</t>
  </si>
  <si>
    <t>CS_PW083</t>
  </si>
  <si>
    <t>PW24-03</t>
  </si>
  <si>
    <t>CS_PW084</t>
  </si>
  <si>
    <t>PW24-04</t>
  </si>
  <si>
    <t>CS_PW085</t>
  </si>
  <si>
    <t>PW24-05</t>
  </si>
  <si>
    <t>CS_PW086</t>
  </si>
  <si>
    <t>PW24-06</t>
  </si>
  <si>
    <t>CS_PW087</t>
  </si>
  <si>
    <t>PW24-07</t>
  </si>
  <si>
    <t>CS_PW088</t>
  </si>
  <si>
    <t>PW24-08</t>
  </si>
  <si>
    <t>CS_PW089</t>
  </si>
  <si>
    <t>PW24-09</t>
  </si>
  <si>
    <t>CS_PW090</t>
  </si>
  <si>
    <t>PW24-10</t>
  </si>
  <si>
    <t>CS_PW091</t>
  </si>
  <si>
    <t>PW24-11</t>
  </si>
  <si>
    <t>CS_PW092</t>
  </si>
  <si>
    <t>PW24-12</t>
  </si>
  <si>
    <t>CS_PW093</t>
  </si>
  <si>
    <t>PW24-13</t>
  </si>
  <si>
    <t>CS_PW094</t>
  </si>
  <si>
    <t>PW24-14</t>
  </si>
  <si>
    <t>CS_PW095</t>
  </si>
  <si>
    <t>PW24-15</t>
  </si>
  <si>
    <t>Repeat field sample CS_PW42</t>
  </si>
  <si>
    <t>CS_PW096</t>
  </si>
  <si>
    <t>PW24-16</t>
  </si>
  <si>
    <t>Field duplicate sample of PW24-15</t>
  </si>
  <si>
    <t>Duplicate PW24-15</t>
  </si>
  <si>
    <t>CS_PW097</t>
  </si>
  <si>
    <t>PW24-17</t>
  </si>
  <si>
    <t>Seaweed line,watertable @1m below surface</t>
  </si>
  <si>
    <t>CS_PW098</t>
  </si>
  <si>
    <t>PW24-18</t>
  </si>
  <si>
    <t xml:space="preserve">Half way seaweed and shoreline, watertable @ 0.6m </t>
  </si>
  <si>
    <t>CS_PW099</t>
  </si>
  <si>
    <t>PW24-19</t>
  </si>
  <si>
    <t>Shoreline</t>
  </si>
  <si>
    <t>CS_PW100</t>
  </si>
  <si>
    <t>PW24-20</t>
  </si>
  <si>
    <t>CS_PW101</t>
  </si>
  <si>
    <t>PW24-21</t>
  </si>
  <si>
    <t>Seaweed line,watertable @0.9m below surface</t>
  </si>
  <si>
    <t>CS_PW102</t>
  </si>
  <si>
    <t>PW24-22</t>
  </si>
  <si>
    <t xml:space="preserve">Half way seaweed and shoreline, watertable @ 0.45m </t>
  </si>
  <si>
    <t>CS_PW103</t>
  </si>
  <si>
    <t>PW24-23</t>
  </si>
  <si>
    <t>CS_PW104</t>
  </si>
  <si>
    <t>PW24-24</t>
  </si>
  <si>
    <t>SW-01</t>
  </si>
  <si>
    <t>CS_PW105</t>
  </si>
  <si>
    <t>CSPW01</t>
  </si>
  <si>
    <t>Offshore porewater</t>
  </si>
  <si>
    <t>CS_PW106</t>
  </si>
  <si>
    <t>CSPW02</t>
  </si>
  <si>
    <t>CS_PW107</t>
  </si>
  <si>
    <t>CSPW05</t>
  </si>
  <si>
    <t>CS_PW108</t>
  </si>
  <si>
    <t>CSPW06</t>
  </si>
  <si>
    <t>CS_PW109</t>
  </si>
  <si>
    <t>CSPW07</t>
  </si>
  <si>
    <t>CS_PW110</t>
  </si>
  <si>
    <t>CSPW08</t>
  </si>
  <si>
    <t>CS_PW111</t>
  </si>
  <si>
    <t>CSPW99</t>
  </si>
  <si>
    <t>CS_PW112</t>
  </si>
  <si>
    <t>CSPW98</t>
  </si>
  <si>
    <t>CS_PW113</t>
  </si>
  <si>
    <t>CSPW14</t>
  </si>
  <si>
    <t>CS_PW114</t>
  </si>
  <si>
    <t>CSPW15</t>
  </si>
  <si>
    <t>CS_PW115</t>
  </si>
  <si>
    <t>CSPW19</t>
  </si>
  <si>
    <t>CS_PW116</t>
  </si>
  <si>
    <t>CSPW20</t>
  </si>
  <si>
    <t>CS_PW117</t>
  </si>
  <si>
    <t>CSPW23</t>
  </si>
  <si>
    <t>CS_PW118</t>
  </si>
  <si>
    <t>CSPW24</t>
  </si>
  <si>
    <t>CS_PW119</t>
  </si>
  <si>
    <t>CSPW25</t>
  </si>
  <si>
    <t>CS_PW120</t>
  </si>
  <si>
    <t>CSPW28</t>
  </si>
  <si>
    <t>CS_PW121</t>
  </si>
  <si>
    <t>CSPW30</t>
  </si>
  <si>
    <t>CS_PW122</t>
  </si>
  <si>
    <t>CSPW31</t>
  </si>
  <si>
    <t>CS_PW123</t>
  </si>
  <si>
    <t>CSPW32</t>
  </si>
  <si>
    <t>CS_PW124</t>
  </si>
  <si>
    <t>CSPW33</t>
  </si>
  <si>
    <t>CS_PW125</t>
  </si>
  <si>
    <t>CSPW29</t>
  </si>
  <si>
    <t>CS_PW126</t>
  </si>
  <si>
    <t>CSPW26</t>
  </si>
  <si>
    <t>CS_PW127</t>
  </si>
  <si>
    <t>CSPW21</t>
  </si>
  <si>
    <t>SW01</t>
  </si>
  <si>
    <t>CS_PW128</t>
  </si>
  <si>
    <t>CSPW22</t>
  </si>
  <si>
    <t>Poor water recovery, very slow, fines in tip when pulled</t>
  </si>
  <si>
    <t>CS_PW129</t>
  </si>
  <si>
    <t>CSPW17</t>
  </si>
  <si>
    <t>CS_PW130</t>
  </si>
  <si>
    <t>CSPW34</t>
  </si>
  <si>
    <t>first try blocked, changed tip, then betterflow</t>
  </si>
  <si>
    <t>CS_PW131</t>
  </si>
  <si>
    <t>CSPW03</t>
  </si>
  <si>
    <t>SEDIMENT SAMPLE; No sample, blockages</t>
  </si>
  <si>
    <t>CS_PW132</t>
  </si>
  <si>
    <t>CSPW04</t>
  </si>
  <si>
    <t>CS_PW133</t>
  </si>
  <si>
    <t>CSPW12</t>
  </si>
  <si>
    <t>No sample, blockages</t>
  </si>
  <si>
    <t>CS_PW134</t>
  </si>
  <si>
    <t>CSPW13</t>
  </si>
  <si>
    <t>CS_PW135</t>
  </si>
  <si>
    <t>CSPW11</t>
  </si>
  <si>
    <t>no PW sample, light grey clayey mud and shell</t>
  </si>
  <si>
    <t xml:space="preserve"> </t>
  </si>
  <si>
    <t>CS_PW136</t>
  </si>
  <si>
    <t>CSPW18</t>
  </si>
  <si>
    <t>CS_PW137</t>
  </si>
  <si>
    <t>CSPW35</t>
  </si>
  <si>
    <t>new location west of CSPW18 on 'drop off'</t>
  </si>
  <si>
    <t>CS_PW138</t>
  </si>
  <si>
    <t>CSPW27</t>
  </si>
  <si>
    <t>no PW sample, off CSBP jetty, v. soft, fine grained sediments</t>
  </si>
  <si>
    <t>SW</t>
  </si>
  <si>
    <t>mid-column at location CSPW03</t>
  </si>
  <si>
    <t>EC probe over side 55.7, 21.9 oC</t>
  </si>
  <si>
    <t>Water depth</t>
  </si>
  <si>
    <t>pH</t>
  </si>
  <si>
    <t>EC</t>
  </si>
  <si>
    <t>temp</t>
  </si>
  <si>
    <t>m</t>
  </si>
  <si>
    <t>mS/cm</t>
  </si>
  <si>
    <t>degC</t>
  </si>
  <si>
    <t>no sample</t>
  </si>
  <si>
    <t>Econd</t>
  </si>
  <si>
    <t>Cl</t>
  </si>
  <si>
    <t>SO4</t>
  </si>
  <si>
    <t>NH3_N</t>
  </si>
  <si>
    <t>P_SR</t>
  </si>
  <si>
    <t>NO3+NO2_N</t>
  </si>
  <si>
    <t>P_totsol</t>
  </si>
  <si>
    <t>N_totsol</t>
  </si>
  <si>
    <t>DOC</t>
  </si>
  <si>
    <t>Total Alkalinity</t>
  </si>
  <si>
    <t>HCO3</t>
  </si>
  <si>
    <t>B</t>
  </si>
  <si>
    <t>Ca</t>
  </si>
  <si>
    <t>Fe</t>
  </si>
  <si>
    <t>K</t>
  </si>
  <si>
    <t>Mg</t>
  </si>
  <si>
    <t>Na</t>
  </si>
  <si>
    <t>mg/L</t>
  </si>
  <si>
    <t>mg CaCO3/L</t>
  </si>
  <si>
    <t>&lt;0.009</t>
  </si>
  <si>
    <t>&lt;0.01</t>
  </si>
  <si>
    <t>&lt;0.006</t>
  </si>
  <si>
    <t>Al</t>
  </si>
  <si>
    <t>CO3</t>
  </si>
  <si>
    <t>ECond</t>
  </si>
  <si>
    <t>Mn</t>
  </si>
  <si>
    <t>N_NH3</t>
  </si>
  <si>
    <t>N_NO2</t>
  </si>
  <si>
    <t>N_NO3</t>
  </si>
  <si>
    <t>N_NOx</t>
  </si>
  <si>
    <t>mS/m</t>
  </si>
  <si>
    <t>&lt;0.005</t>
  </si>
  <si>
    <t>&lt;1</t>
  </si>
  <si>
    <t>&lt;0.025</t>
  </si>
  <si>
    <t>&lt;0.001</t>
  </si>
  <si>
    <t>&lt;0.050</t>
  </si>
  <si>
    <t>&lt;0.010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</si>
</sst>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0000"/>
    <numFmt numFmtId="165" formatCode="0.0"/>
    <numFmt numFmtId="166" formatCode="0.0000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8"/>
      <name val="Aptos Narrow"/>
      <family val="2"/>
      <scheme val="minor"/>
    </font>
    <font>
      <sz val="8"/>
      <name val="Aptos Narrow"/>
      <family val="2"/>
      <scheme val="minor"/>
    </font>
    <font>
      <b/>
      <sz val="10"/>
      <color rgb="FF000000"/>
      <name val="Aptos Narrow"/>
      <family val="2"/>
      <scheme val="minor"/>
    </font>
    <font>
      <sz val="10"/>
      <color theme="1"/>
      <name val="Aptos Narrow"/>
      <family val="2"/>
      <scheme val="minor"/>
    </font>
    <font>
      <b/>
      <sz val="10"/>
      <color theme="1"/>
      <name val="Aptos Narrow"/>
      <family val="2"/>
      <scheme val="minor"/>
    </font>
    <font>
      <i/>
      <sz val="10"/>
      <color theme="1"/>
      <name val="Aptos Narrow"/>
      <family val="2"/>
      <scheme val="minor"/>
    </font>
    <font>
      <u/>
      <sz val="11"/>
      <color theme="10"/>
      <name val="Aptos Narrow"/>
      <family val="2"/>
      <scheme val="minor"/>
    </font>
    <font>
      <sz val="10"/>
      <name val="Aptos Narrow"/>
      <family val="2"/>
      <scheme val="minor"/>
    </font>
    <font>
      <sz val="10"/>
      <color theme="8"/>
      <name val="Aptos Narrow"/>
      <family val="2"/>
      <scheme val="minor"/>
    </font>
    <font>
      <i/>
      <sz val="1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4" fillId="0" borderId="0" applyNumberFormat="0" applyFill="0" applyBorder="0" applyAlignment="0" applyProtection="0"/>
  </cellStyleXfs>
  <cellXfs count="46">
    <xf numFmtId="0" fontId="0" fillId="0" borderId="0" xfId="0"/>
    <xf numFmtId="14" fontId="0" fillId="0" borderId="0" xfId="0" applyNumberFormat="1"/>
    <xf numFmtId="20" fontId="0" fillId="0" borderId="0" xfId="0" applyNumberFormat="1"/>
    <xf numFmtId="0" fontId="18" fillId="0" borderId="0" xfId="0" applyFont="1"/>
    <xf numFmtId="20" fontId="18" fillId="0" borderId="0" xfId="0" applyNumberFormat="1" applyFont="1"/>
    <xf numFmtId="2" fontId="0" fillId="0" borderId="0" xfId="0" applyNumberFormat="1"/>
    <xf numFmtId="0" fontId="20" fillId="33" borderId="11" xfId="0" applyFont="1" applyFill="1" applyBorder="1" applyAlignment="1">
      <alignment vertical="center" wrapText="1"/>
    </xf>
    <xf numFmtId="0" fontId="21" fillId="0" borderId="0" xfId="0" applyFont="1"/>
    <xf numFmtId="0" fontId="22" fillId="0" borderId="12" xfId="0" applyFont="1" applyBorder="1" applyAlignment="1">
      <alignment vertical="center" wrapText="1"/>
    </xf>
    <xf numFmtId="0" fontId="21" fillId="0" borderId="14" xfId="0" applyFont="1" applyBorder="1" applyAlignment="1">
      <alignment vertical="center" wrapText="1"/>
    </xf>
    <xf numFmtId="0" fontId="21" fillId="0" borderId="15" xfId="0" applyFont="1" applyBorder="1" applyAlignment="1">
      <alignment vertical="center" wrapText="1"/>
    </xf>
    <xf numFmtId="0" fontId="22" fillId="0" borderId="13" xfId="0" applyFont="1" applyBorder="1" applyAlignment="1">
      <alignment vertical="center" wrapText="1"/>
    </xf>
    <xf numFmtId="0" fontId="21" fillId="0" borderId="14" xfId="0" applyFont="1" applyBorder="1" applyAlignment="1">
      <alignment horizontal="left" vertical="center" wrapText="1" indent="3"/>
    </xf>
    <xf numFmtId="14" fontId="21" fillId="0" borderId="14" xfId="0" applyNumberFormat="1" applyFont="1" applyBorder="1" applyAlignment="1">
      <alignment vertical="center" wrapText="1"/>
    </xf>
    <xf numFmtId="0" fontId="24" fillId="0" borderId="14" xfId="42" applyBorder="1" applyAlignment="1">
      <alignment vertical="center" wrapText="1"/>
    </xf>
    <xf numFmtId="0" fontId="25" fillId="0" borderId="0" xfId="0" applyFont="1" applyAlignment="1">
      <alignment horizontal="center"/>
    </xf>
    <xf numFmtId="165" fontId="25" fillId="0" borderId="0" xfId="0" applyNumberFormat="1" applyFont="1" applyAlignment="1">
      <alignment horizontal="center"/>
    </xf>
    <xf numFmtId="1" fontId="25" fillId="0" borderId="0" xfId="0" applyNumberFormat="1" applyFont="1" applyAlignment="1">
      <alignment horizontal="center"/>
    </xf>
    <xf numFmtId="14" fontId="21" fillId="0" borderId="0" xfId="0" applyNumberFormat="1" applyFont="1"/>
    <xf numFmtId="20" fontId="21" fillId="0" borderId="0" xfId="0" applyNumberFormat="1" applyFont="1"/>
    <xf numFmtId="0" fontId="26" fillId="0" borderId="0" xfId="0" applyFont="1"/>
    <xf numFmtId="164" fontId="21" fillId="0" borderId="0" xfId="0" applyNumberFormat="1" applyFont="1"/>
    <xf numFmtId="20" fontId="26" fillId="0" borderId="0" xfId="0" applyNumberFormat="1" applyFont="1"/>
    <xf numFmtId="0" fontId="21" fillId="0" borderId="0" xfId="0" applyFont="1" applyAlignment="1">
      <alignment horizontal="center"/>
    </xf>
    <xf numFmtId="0" fontId="23" fillId="0" borderId="0" xfId="0" applyFont="1" applyAlignment="1">
      <alignment horizontal="center"/>
    </xf>
    <xf numFmtId="0" fontId="25" fillId="0" borderId="0" xfId="0" applyFont="1" applyAlignment="1">
      <alignment horizontal="center" wrapText="1"/>
    </xf>
    <xf numFmtId="0" fontId="0" fillId="0" borderId="0" xfId="0" applyAlignment="1">
      <alignment wrapText="1"/>
    </xf>
    <xf numFmtId="0" fontId="16" fillId="0" borderId="0" xfId="0" applyFont="1"/>
    <xf numFmtId="166" fontId="21" fillId="0" borderId="0" xfId="0" applyNumberFormat="1" applyFont="1"/>
    <xf numFmtId="166" fontId="26" fillId="0" borderId="0" xfId="0" applyNumberFormat="1" applyFont="1"/>
    <xf numFmtId="0" fontId="27" fillId="0" borderId="0" xfId="0" applyFont="1" applyAlignment="1">
      <alignment horizontal="center"/>
    </xf>
    <xf numFmtId="165" fontId="27" fillId="0" borderId="0" xfId="0" applyNumberFormat="1" applyFont="1" applyAlignment="1">
      <alignment horizontal="center"/>
    </xf>
    <xf numFmtId="0" fontId="22" fillId="0" borderId="16" xfId="0" applyFont="1" applyBorder="1" applyAlignment="1">
      <alignment vertical="center" wrapText="1"/>
    </xf>
    <xf numFmtId="0" fontId="22" fillId="0" borderId="12" xfId="0" applyFont="1" applyBorder="1" applyAlignment="1">
      <alignment vertical="center" wrapText="1"/>
    </xf>
    <xf numFmtId="0" fontId="21" fillId="0" borderId="17" xfId="0" applyFont="1" applyBorder="1" applyAlignment="1">
      <alignment vertical="center" wrapText="1"/>
    </xf>
    <xf numFmtId="0" fontId="21" fillId="0" borderId="14" xfId="0" applyFont="1" applyBorder="1" applyAlignment="1">
      <alignment vertical="center" wrapText="1"/>
    </xf>
    <xf numFmtId="0" fontId="21" fillId="0" borderId="18" xfId="0" applyFont="1" applyBorder="1" applyAlignment="1">
      <alignment vertical="center" wrapText="1"/>
    </xf>
    <xf numFmtId="0" fontId="21" fillId="0" borderId="20" xfId="0" applyFont="1" applyBorder="1" applyAlignment="1">
      <alignment vertical="center" wrapText="1"/>
    </xf>
    <xf numFmtId="0" fontId="22" fillId="0" borderId="13" xfId="0" applyFont="1" applyBorder="1" applyAlignment="1">
      <alignment vertical="center" wrapText="1"/>
    </xf>
    <xf numFmtId="0" fontId="21" fillId="0" borderId="15" xfId="0" applyFont="1" applyBorder="1" applyAlignment="1">
      <alignment vertical="center" wrapText="1"/>
    </xf>
    <xf numFmtId="0" fontId="20" fillId="33" borderId="10" xfId="0" applyFont="1" applyFill="1" applyBorder="1" applyAlignment="1">
      <alignment vertical="center" wrapText="1"/>
    </xf>
    <xf numFmtId="0" fontId="20" fillId="33" borderId="11" xfId="0" applyFont="1" applyFill="1" applyBorder="1" applyAlignment="1">
      <alignment vertical="center" wrapText="1"/>
    </xf>
    <xf numFmtId="0" fontId="21" fillId="0" borderId="18" xfId="0" applyFont="1" applyBorder="1" applyAlignment="1">
      <alignment horizontal="left" vertical="center" wrapText="1" indent="3"/>
    </xf>
    <xf numFmtId="0" fontId="21" fillId="0" borderId="19" xfId="0" applyFont="1" applyBorder="1" applyAlignment="1">
      <alignment horizontal="left" vertical="center" wrapText="1" indent="3"/>
    </xf>
    <xf numFmtId="0" fontId="21" fillId="0" borderId="20" xfId="0" applyFont="1" applyBorder="1" applyAlignment="1">
      <alignment horizontal="left" vertical="center" wrapText="1" indent="3"/>
    </xf>
    <xf numFmtId="1" fontId="21" fillId="0" borderId="0" xfId="0"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548640</xdr:colOff>
      <xdr:row>15</xdr:row>
      <xdr:rowOff>99060</xdr:rowOff>
    </xdr:from>
    <xdr:to>
      <xdr:col>6</xdr:col>
      <xdr:colOff>30480</xdr:colOff>
      <xdr:row>17</xdr:row>
      <xdr:rowOff>830580</xdr:rowOff>
    </xdr:to>
    <xdr:pic>
      <xdr:nvPicPr>
        <xdr:cNvPr id="4" name="Picture 3">
          <a:extLst>
            <a:ext uri="{FF2B5EF4-FFF2-40B4-BE49-F238E27FC236}">
              <a16:creationId xmlns:a16="http://schemas.microsoft.com/office/drawing/2014/main" id="{E7FB1650-B03F-D63B-EDB7-A24AC535A2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5400000">
          <a:off x="7734300" y="7368540"/>
          <a:ext cx="2560320" cy="1920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297180</xdr:colOff>
      <xdr:row>3</xdr:row>
      <xdr:rowOff>601980</xdr:rowOff>
    </xdr:from>
    <xdr:to>
      <xdr:col>4</xdr:col>
      <xdr:colOff>506730</xdr:colOff>
      <xdr:row>5</xdr:row>
      <xdr:rowOff>764540</xdr:rowOff>
    </xdr:to>
    <xdr:pic>
      <xdr:nvPicPr>
        <xdr:cNvPr id="5" name="Picture 4">
          <a:extLst>
            <a:ext uri="{FF2B5EF4-FFF2-40B4-BE49-F238E27FC236}">
              <a16:creationId xmlns:a16="http://schemas.microsoft.com/office/drawing/2014/main" id="{A1E1FFA8-F74D-1840-E1EE-9A327908B2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02880" y="1333500"/>
          <a:ext cx="1428750" cy="254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38100</xdr:colOff>
      <xdr:row>3</xdr:row>
      <xdr:rowOff>243840</xdr:rowOff>
    </xdr:from>
    <xdr:to>
      <xdr:col>9</xdr:col>
      <xdr:colOff>607660</xdr:colOff>
      <xdr:row>6</xdr:row>
      <xdr:rowOff>150460</xdr:rowOff>
    </xdr:to>
    <xdr:pic>
      <xdr:nvPicPr>
        <xdr:cNvPr id="7" name="Picture 6" descr="Men standing on a beach looking at a fishing rod&#10;&#10;Description automatically generated">
          <a:extLst>
            <a:ext uri="{FF2B5EF4-FFF2-40B4-BE49-F238E27FC236}">
              <a16:creationId xmlns:a16="http://schemas.microsoft.com/office/drawing/2014/main" id="{A4D7999D-7729-4179-11B2-F36C81FC2A5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9582150" y="1375410"/>
          <a:ext cx="3198460" cy="23983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michael.donn@csiro.a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B9F57-2AB1-4125-86D5-70B7B73714D4}">
  <dimension ref="A1:I72"/>
  <sheetViews>
    <sheetView topLeftCell="A48" workbookViewId="0">
      <selection activeCell="B15" sqref="B15"/>
    </sheetView>
  </sheetViews>
  <sheetFormatPr defaultColWidth="8.7109375" defaultRowHeight="13.5" x14ac:dyDescent="0.25"/>
  <cols>
    <col min="1" max="1" width="21.7109375" style="7" bestFit="1" customWidth="1"/>
    <col min="2" max="3" width="62.42578125" style="7" customWidth="1"/>
    <col min="4" max="16384" width="8.7109375" style="7"/>
  </cols>
  <sheetData>
    <row r="1" spans="1:3" ht="14.25" thickBot="1" x14ac:dyDescent="0.3">
      <c r="A1" s="40" t="s">
        <v>0</v>
      </c>
      <c r="B1" s="41"/>
      <c r="C1" s="6" t="s">
        <v>1</v>
      </c>
    </row>
    <row r="2" spans="1:3" ht="14.25" thickBot="1" x14ac:dyDescent="0.3">
      <c r="A2" s="8" t="s">
        <v>2</v>
      </c>
      <c r="B2" s="9" t="s">
        <v>3</v>
      </c>
      <c r="C2" s="9" t="s">
        <v>4</v>
      </c>
    </row>
    <row r="3" spans="1:3" ht="27.75" thickBot="1" x14ac:dyDescent="0.3">
      <c r="A3" s="8" t="s">
        <v>5</v>
      </c>
      <c r="B3" s="9" t="s">
        <v>6</v>
      </c>
      <c r="C3" s="9" t="s">
        <v>7</v>
      </c>
    </row>
    <row r="4" spans="1:3" ht="27.75" thickBot="1" x14ac:dyDescent="0.3">
      <c r="A4" s="8" t="s">
        <v>8</v>
      </c>
      <c r="B4" s="9" t="s">
        <v>9</v>
      </c>
      <c r="C4" s="9" t="s">
        <v>10</v>
      </c>
    </row>
    <row r="5" spans="1:3" ht="14.25" thickBot="1" x14ac:dyDescent="0.3">
      <c r="A5" s="8" t="s">
        <v>11</v>
      </c>
      <c r="B5" s="9" t="s">
        <v>12</v>
      </c>
      <c r="C5" s="9">
        <v>2024</v>
      </c>
    </row>
    <row r="6" spans="1:3" ht="14.25" thickBot="1" x14ac:dyDescent="0.3">
      <c r="A6" s="8" t="s">
        <v>13</v>
      </c>
      <c r="B6" s="9" t="s">
        <v>14</v>
      </c>
      <c r="C6" s="9" t="s">
        <v>15</v>
      </c>
    </row>
    <row r="7" spans="1:3" ht="14.25" thickBot="1" x14ac:dyDescent="0.3">
      <c r="A7" s="8" t="s">
        <v>16</v>
      </c>
      <c r="B7" s="9" t="s">
        <v>17</v>
      </c>
      <c r="C7" s="9" t="s">
        <v>18</v>
      </c>
    </row>
    <row r="8" spans="1:3" ht="14.25" thickBot="1" x14ac:dyDescent="0.3">
      <c r="A8" s="8" t="s">
        <v>19</v>
      </c>
      <c r="B8" s="9" t="s">
        <v>20</v>
      </c>
      <c r="C8" s="9" t="s">
        <v>21</v>
      </c>
    </row>
    <row r="9" spans="1:3" ht="14.25" thickBot="1" x14ac:dyDescent="0.3">
      <c r="A9" s="8" t="s">
        <v>22</v>
      </c>
      <c r="B9" s="9" t="s">
        <v>23</v>
      </c>
      <c r="C9" s="13">
        <v>44889</v>
      </c>
    </row>
    <row r="10" spans="1:3" ht="14.25" thickBot="1" x14ac:dyDescent="0.3">
      <c r="A10" s="8" t="s">
        <v>24</v>
      </c>
      <c r="B10" s="9" t="s">
        <v>25</v>
      </c>
      <c r="C10" s="13">
        <v>45456</v>
      </c>
    </row>
    <row r="11" spans="1:3" ht="41.25" thickBot="1" x14ac:dyDescent="0.3">
      <c r="A11" s="8" t="s">
        <v>26</v>
      </c>
      <c r="B11" s="9" t="s">
        <v>27</v>
      </c>
      <c r="C11" s="9" t="s">
        <v>28</v>
      </c>
    </row>
    <row r="12" spans="1:3" ht="14.25" thickBot="1" x14ac:dyDescent="0.3">
      <c r="A12" s="8" t="s">
        <v>29</v>
      </c>
      <c r="B12" s="9" t="s">
        <v>30</v>
      </c>
      <c r="C12" s="9" t="s">
        <v>31</v>
      </c>
    </row>
    <row r="13" spans="1:3" ht="15.75" thickBot="1" x14ac:dyDescent="0.3">
      <c r="A13" s="8" t="s">
        <v>32</v>
      </c>
      <c r="B13" s="9" t="s">
        <v>33</v>
      </c>
      <c r="C13" s="14" t="s">
        <v>34</v>
      </c>
    </row>
    <row r="14" spans="1:3" ht="27" x14ac:dyDescent="0.25">
      <c r="A14" s="32" t="s">
        <v>35</v>
      </c>
      <c r="B14" s="10" t="s">
        <v>36</v>
      </c>
      <c r="C14" s="42" t="s">
        <v>37</v>
      </c>
    </row>
    <row r="15" spans="1:3" x14ac:dyDescent="0.25">
      <c r="A15" s="38"/>
      <c r="B15" s="10" t="s">
        <v>38</v>
      </c>
      <c r="C15" s="43"/>
    </row>
    <row r="16" spans="1:3" x14ac:dyDescent="0.25">
      <c r="A16" s="38"/>
      <c r="B16" s="10" t="s">
        <v>39</v>
      </c>
      <c r="C16" s="43"/>
    </row>
    <row r="17" spans="1:9" ht="15" x14ac:dyDescent="0.25">
      <c r="A17" s="38"/>
      <c r="B17" s="10" t="s">
        <v>40</v>
      </c>
      <c r="C17" s="43"/>
      <c r="I17" s="1"/>
    </row>
    <row r="18" spans="1:9" ht="15" x14ac:dyDescent="0.25">
      <c r="A18" s="38"/>
      <c r="B18" s="10" t="s">
        <v>41</v>
      </c>
      <c r="C18" s="43"/>
      <c r="I18" s="1"/>
    </row>
    <row r="19" spans="1:9" x14ac:dyDescent="0.25">
      <c r="A19" s="38"/>
      <c r="B19" s="10" t="s">
        <v>42</v>
      </c>
      <c r="C19" s="43"/>
    </row>
    <row r="20" spans="1:9" x14ac:dyDescent="0.25">
      <c r="A20" s="38"/>
      <c r="B20" s="10" t="s">
        <v>43</v>
      </c>
      <c r="C20" s="43"/>
    </row>
    <row r="21" spans="1:9" x14ac:dyDescent="0.25">
      <c r="A21" s="38"/>
      <c r="B21" s="10" t="s">
        <v>44</v>
      </c>
      <c r="C21" s="43"/>
    </row>
    <row r="22" spans="1:9" x14ac:dyDescent="0.25">
      <c r="A22" s="38"/>
      <c r="B22" s="10" t="s">
        <v>45</v>
      </c>
      <c r="C22" s="43"/>
    </row>
    <row r="23" spans="1:9" x14ac:dyDescent="0.25">
      <c r="A23" s="38"/>
      <c r="B23" s="10" t="s">
        <v>46</v>
      </c>
      <c r="C23" s="43"/>
    </row>
    <row r="24" spans="1:9" x14ac:dyDescent="0.25">
      <c r="A24" s="38"/>
      <c r="B24" s="10" t="s">
        <v>47</v>
      </c>
      <c r="C24" s="43"/>
    </row>
    <row r="25" spans="1:9" x14ac:dyDescent="0.25">
      <c r="A25" s="38"/>
      <c r="B25" s="10" t="s">
        <v>48</v>
      </c>
      <c r="C25" s="43"/>
    </row>
    <row r="26" spans="1:9" x14ac:dyDescent="0.25">
      <c r="A26" s="38"/>
      <c r="B26" s="10" t="s">
        <v>49</v>
      </c>
      <c r="C26" s="43"/>
    </row>
    <row r="27" spans="1:9" x14ac:dyDescent="0.25">
      <c r="A27" s="38"/>
      <c r="B27" s="10" t="s">
        <v>50</v>
      </c>
      <c r="C27" s="43"/>
    </row>
    <row r="28" spans="1:9" x14ac:dyDescent="0.25">
      <c r="A28" s="38"/>
      <c r="B28" s="10" t="s">
        <v>51</v>
      </c>
      <c r="C28" s="43"/>
    </row>
    <row r="29" spans="1:9" x14ac:dyDescent="0.25">
      <c r="A29" s="38"/>
      <c r="B29" s="10" t="s">
        <v>52</v>
      </c>
      <c r="C29" s="43"/>
    </row>
    <row r="30" spans="1:9" x14ac:dyDescent="0.25">
      <c r="A30" s="38"/>
      <c r="B30" s="10" t="s">
        <v>53</v>
      </c>
      <c r="C30" s="43"/>
    </row>
    <row r="31" spans="1:9" x14ac:dyDescent="0.25">
      <c r="A31" s="38"/>
      <c r="B31" s="10" t="s">
        <v>54</v>
      </c>
      <c r="C31" s="43"/>
    </row>
    <row r="32" spans="1:9" x14ac:dyDescent="0.25">
      <c r="A32" s="38"/>
      <c r="B32" s="10" t="s">
        <v>55</v>
      </c>
      <c r="C32" s="43"/>
    </row>
    <row r="33" spans="1:3" x14ac:dyDescent="0.25">
      <c r="A33" s="38"/>
      <c r="B33" s="10" t="s">
        <v>56</v>
      </c>
      <c r="C33" s="43"/>
    </row>
    <row r="34" spans="1:3" x14ac:dyDescent="0.25">
      <c r="A34" s="38"/>
      <c r="B34" s="10" t="s">
        <v>57</v>
      </c>
      <c r="C34" s="43"/>
    </row>
    <row r="35" spans="1:3" x14ac:dyDescent="0.25">
      <c r="A35" s="38"/>
      <c r="B35" s="10" t="s">
        <v>58</v>
      </c>
      <c r="C35" s="43"/>
    </row>
    <row r="36" spans="1:3" x14ac:dyDescent="0.25">
      <c r="A36" s="38"/>
      <c r="B36" s="10" t="s">
        <v>59</v>
      </c>
      <c r="C36" s="43"/>
    </row>
    <row r="37" spans="1:3" x14ac:dyDescent="0.25">
      <c r="A37" s="38"/>
      <c r="B37" s="10" t="s">
        <v>60</v>
      </c>
      <c r="C37" s="43"/>
    </row>
    <row r="38" spans="1:3" x14ac:dyDescent="0.25">
      <c r="A38" s="38"/>
      <c r="B38" s="10" t="s">
        <v>61</v>
      </c>
      <c r="C38" s="43"/>
    </row>
    <row r="39" spans="1:3" x14ac:dyDescent="0.25">
      <c r="A39" s="38"/>
      <c r="B39" s="10" t="s">
        <v>62</v>
      </c>
      <c r="C39" s="43"/>
    </row>
    <row r="40" spans="1:3" ht="14.25" thickBot="1" x14ac:dyDescent="0.3">
      <c r="A40" s="33"/>
      <c r="B40" s="9" t="s">
        <v>63</v>
      </c>
      <c r="C40" s="44"/>
    </row>
    <row r="41" spans="1:3" ht="40.5" x14ac:dyDescent="0.25">
      <c r="A41" s="32" t="s">
        <v>64</v>
      </c>
      <c r="B41" s="10" t="s">
        <v>65</v>
      </c>
      <c r="C41" s="42" t="s">
        <v>66</v>
      </c>
    </row>
    <row r="42" spans="1:3" x14ac:dyDescent="0.25">
      <c r="A42" s="38"/>
      <c r="B42" s="10" t="s">
        <v>67</v>
      </c>
      <c r="C42" s="43"/>
    </row>
    <row r="43" spans="1:3" x14ac:dyDescent="0.25">
      <c r="A43" s="38"/>
      <c r="B43" s="10" t="s">
        <v>68</v>
      </c>
      <c r="C43" s="43"/>
    </row>
    <row r="44" spans="1:3" x14ac:dyDescent="0.25">
      <c r="A44" s="38"/>
      <c r="B44" s="10" t="s">
        <v>69</v>
      </c>
      <c r="C44" s="43"/>
    </row>
    <row r="45" spans="1:3" x14ac:dyDescent="0.25">
      <c r="A45" s="38"/>
      <c r="B45" s="10" t="s">
        <v>70</v>
      </c>
      <c r="C45" s="43"/>
    </row>
    <row r="46" spans="1:3" x14ac:dyDescent="0.25">
      <c r="A46" s="38"/>
      <c r="B46" s="10" t="s">
        <v>71</v>
      </c>
      <c r="C46" s="43"/>
    </row>
    <row r="47" spans="1:3" x14ac:dyDescent="0.25">
      <c r="A47" s="38"/>
      <c r="B47" s="10" t="s">
        <v>72</v>
      </c>
      <c r="C47" s="43"/>
    </row>
    <row r="48" spans="1:3" x14ac:dyDescent="0.25">
      <c r="A48" s="38"/>
      <c r="B48" s="10" t="s">
        <v>73</v>
      </c>
      <c r="C48" s="43"/>
    </row>
    <row r="49" spans="1:3" x14ac:dyDescent="0.25">
      <c r="A49" s="38"/>
      <c r="B49" s="10" t="s">
        <v>74</v>
      </c>
      <c r="C49" s="43"/>
    </row>
    <row r="50" spans="1:3" x14ac:dyDescent="0.25">
      <c r="A50" s="38"/>
      <c r="B50" s="10" t="s">
        <v>75</v>
      </c>
      <c r="C50" s="43"/>
    </row>
    <row r="51" spans="1:3" x14ac:dyDescent="0.25">
      <c r="A51" s="38"/>
      <c r="B51" s="10" t="s">
        <v>76</v>
      </c>
      <c r="C51" s="43"/>
    </row>
    <row r="52" spans="1:3" x14ac:dyDescent="0.25">
      <c r="A52" s="38"/>
      <c r="B52" s="10" t="s">
        <v>77</v>
      </c>
      <c r="C52" s="43"/>
    </row>
    <row r="53" spans="1:3" x14ac:dyDescent="0.25">
      <c r="A53" s="38"/>
      <c r="B53" s="10" t="s">
        <v>78</v>
      </c>
      <c r="C53" s="43"/>
    </row>
    <row r="54" spans="1:3" x14ac:dyDescent="0.25">
      <c r="A54" s="38"/>
      <c r="B54" s="10" t="s">
        <v>79</v>
      </c>
      <c r="C54" s="43"/>
    </row>
    <row r="55" spans="1:3" x14ac:dyDescent="0.25">
      <c r="A55" s="38"/>
      <c r="B55" s="10" t="s">
        <v>80</v>
      </c>
      <c r="C55" s="43"/>
    </row>
    <row r="56" spans="1:3" x14ac:dyDescent="0.25">
      <c r="A56" s="38"/>
      <c r="B56" s="10" t="s">
        <v>66</v>
      </c>
      <c r="C56" s="43"/>
    </row>
    <row r="57" spans="1:3" x14ac:dyDescent="0.25">
      <c r="A57" s="38"/>
      <c r="B57" s="10" t="s">
        <v>81</v>
      </c>
      <c r="C57" s="43"/>
    </row>
    <row r="58" spans="1:3" x14ac:dyDescent="0.25">
      <c r="A58" s="38"/>
      <c r="B58" s="10" t="s">
        <v>82</v>
      </c>
      <c r="C58" s="43"/>
    </row>
    <row r="59" spans="1:3" x14ac:dyDescent="0.25">
      <c r="A59" s="38"/>
      <c r="B59" s="10" t="s">
        <v>83</v>
      </c>
      <c r="C59" s="43"/>
    </row>
    <row r="60" spans="1:3" x14ac:dyDescent="0.25">
      <c r="A60" s="38"/>
      <c r="B60" s="10" t="s">
        <v>84</v>
      </c>
      <c r="C60" s="43"/>
    </row>
    <row r="61" spans="1:3" ht="14.25" thickBot="1" x14ac:dyDescent="0.3">
      <c r="A61" s="33"/>
      <c r="B61" s="9" t="s">
        <v>85</v>
      </c>
      <c r="C61" s="44"/>
    </row>
    <row r="62" spans="1:3" ht="27.75" thickBot="1" x14ac:dyDescent="0.3">
      <c r="A62" s="8" t="s">
        <v>86</v>
      </c>
      <c r="B62" s="9" t="s">
        <v>87</v>
      </c>
      <c r="C62" s="13">
        <v>44889</v>
      </c>
    </row>
    <row r="63" spans="1:3" ht="27.75" thickBot="1" x14ac:dyDescent="0.3">
      <c r="A63" s="8" t="s">
        <v>88</v>
      </c>
      <c r="B63" s="9" t="s">
        <v>89</v>
      </c>
      <c r="C63" s="13">
        <v>45456</v>
      </c>
    </row>
    <row r="64" spans="1:3" x14ac:dyDescent="0.25">
      <c r="A64" s="32" t="s">
        <v>90</v>
      </c>
      <c r="B64" s="34" t="s">
        <v>91</v>
      </c>
      <c r="C64" s="10"/>
    </row>
    <row r="65" spans="1:3" ht="27.75" thickBot="1" x14ac:dyDescent="0.3">
      <c r="A65" s="33"/>
      <c r="B65" s="35"/>
      <c r="C65" s="9" t="s">
        <v>92</v>
      </c>
    </row>
    <row r="66" spans="1:3" x14ac:dyDescent="0.25">
      <c r="A66" s="11" t="s">
        <v>93</v>
      </c>
      <c r="B66" s="34" t="s">
        <v>94</v>
      </c>
      <c r="C66" s="36" t="s">
        <v>95</v>
      </c>
    </row>
    <row r="67" spans="1:3" ht="14.25" thickBot="1" x14ac:dyDescent="0.3">
      <c r="A67" s="8" t="s">
        <v>96</v>
      </c>
      <c r="B67" s="35"/>
      <c r="C67" s="37"/>
    </row>
    <row r="68" spans="1:3" x14ac:dyDescent="0.25">
      <c r="A68" s="32" t="s">
        <v>97</v>
      </c>
      <c r="B68" s="34" t="s">
        <v>98</v>
      </c>
      <c r="C68" s="10" t="s">
        <v>99</v>
      </c>
    </row>
    <row r="69" spans="1:3" x14ac:dyDescent="0.25">
      <c r="A69" s="38"/>
      <c r="B69" s="39"/>
      <c r="C69" s="10" t="s">
        <v>100</v>
      </c>
    </row>
    <row r="70" spans="1:3" x14ac:dyDescent="0.25">
      <c r="A70" s="38"/>
      <c r="B70" s="39"/>
      <c r="C70" s="10" t="s">
        <v>101</v>
      </c>
    </row>
    <row r="71" spans="1:3" ht="14.25" thickBot="1" x14ac:dyDescent="0.3">
      <c r="A71" s="33"/>
      <c r="B71" s="35"/>
      <c r="C71" s="9" t="s">
        <v>102</v>
      </c>
    </row>
    <row r="72" spans="1:3" ht="41.25" thickBot="1" x14ac:dyDescent="0.3">
      <c r="A72" s="8" t="s">
        <v>103</v>
      </c>
      <c r="B72" s="9" t="s">
        <v>104</v>
      </c>
      <c r="C72" s="12"/>
    </row>
  </sheetData>
  <mergeCells count="11">
    <mergeCell ref="A1:B1"/>
    <mergeCell ref="A14:A40"/>
    <mergeCell ref="C14:C40"/>
    <mergeCell ref="A41:A61"/>
    <mergeCell ref="C41:C61"/>
    <mergeCell ref="A64:A65"/>
    <mergeCell ref="B64:B65"/>
    <mergeCell ref="B66:B67"/>
    <mergeCell ref="C66:C67"/>
    <mergeCell ref="A68:A71"/>
    <mergeCell ref="B68:B71"/>
  </mergeCells>
  <hyperlinks>
    <hyperlink ref="C13" r:id="rId1" xr:uid="{38D3F8AF-CEFD-4694-A88F-543286116D5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A6245-5157-4A07-8142-81BB1032A873}">
  <dimension ref="B1:B18"/>
  <sheetViews>
    <sheetView topLeftCell="A7" workbookViewId="0">
      <selection activeCell="B17" sqref="B17"/>
    </sheetView>
  </sheetViews>
  <sheetFormatPr defaultColWidth="8.7109375" defaultRowHeight="15" x14ac:dyDescent="0.25"/>
  <cols>
    <col min="2" max="2" width="100.42578125" customWidth="1"/>
  </cols>
  <sheetData>
    <row r="1" spans="2:2" x14ac:dyDescent="0.25">
      <c r="B1" s="27" t="s">
        <v>105</v>
      </c>
    </row>
    <row r="3" spans="2:2" ht="30" x14ac:dyDescent="0.25">
      <c r="B3" s="26" t="s">
        <v>106</v>
      </c>
    </row>
    <row r="4" spans="2:2" ht="60" x14ac:dyDescent="0.25">
      <c r="B4" s="26" t="s">
        <v>107</v>
      </c>
    </row>
    <row r="5" spans="2:2" ht="150" x14ac:dyDescent="0.25">
      <c r="B5" s="26" t="s">
        <v>108</v>
      </c>
    </row>
    <row r="6" spans="2:2" ht="90" x14ac:dyDescent="0.25">
      <c r="B6" s="26" t="s">
        <v>109</v>
      </c>
    </row>
    <row r="9" spans="2:2" x14ac:dyDescent="0.25">
      <c r="B9" s="27" t="s">
        <v>110</v>
      </c>
    </row>
    <row r="10" spans="2:2" ht="45" x14ac:dyDescent="0.25">
      <c r="B10" s="26" t="s">
        <v>111</v>
      </c>
    </row>
    <row r="11" spans="2:2" ht="75" x14ac:dyDescent="0.25">
      <c r="B11" s="26" t="s">
        <v>112</v>
      </c>
    </row>
    <row r="14" spans="2:2" x14ac:dyDescent="0.25">
      <c r="B14" s="27" t="s">
        <v>113</v>
      </c>
    </row>
    <row r="15" spans="2:2" ht="30" x14ac:dyDescent="0.25">
      <c r="B15" s="26" t="s">
        <v>114</v>
      </c>
    </row>
    <row r="16" spans="2:2" ht="120" x14ac:dyDescent="0.25">
      <c r="B16" s="26" t="s">
        <v>115</v>
      </c>
    </row>
    <row r="17" spans="2:2" ht="60" x14ac:dyDescent="0.25">
      <c r="B17" s="26" t="s">
        <v>116</v>
      </c>
    </row>
    <row r="18" spans="2:2" ht="75" x14ac:dyDescent="0.25">
      <c r="B18" s="26" t="s">
        <v>112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56074-B782-4A76-B282-1FF7E02B3758}">
  <dimension ref="A1:K175"/>
  <sheetViews>
    <sheetView workbookViewId="0">
      <pane ySplit="1" topLeftCell="A2" activePane="bottomLeft" state="frozen"/>
      <selection pane="bottomLeft"/>
    </sheetView>
  </sheetViews>
  <sheetFormatPr defaultColWidth="8.7109375" defaultRowHeight="13.5" x14ac:dyDescent="0.25"/>
  <cols>
    <col min="1" max="1" width="9.7109375" style="7" bestFit="1" customWidth="1"/>
    <col min="2" max="2" width="8.7109375" style="7" bestFit="1" customWidth="1"/>
    <col min="3" max="3" width="10.28515625" style="7" bestFit="1" customWidth="1"/>
    <col min="4" max="4" width="5.42578125" style="7" bestFit="1" customWidth="1"/>
    <col min="5" max="6" width="11.7109375" style="21" customWidth="1"/>
    <col min="7" max="7" width="12" style="7" customWidth="1"/>
    <col min="8" max="8" width="16.7109375" style="7" bestFit="1" customWidth="1"/>
    <col min="9" max="9" width="28.7109375" style="7" bestFit="1" customWidth="1"/>
    <col min="10" max="10" width="44.42578125" style="7" bestFit="1" customWidth="1"/>
    <col min="11" max="16384" width="8.7109375" style="7"/>
  </cols>
  <sheetData>
    <row r="1" spans="1:10" x14ac:dyDescent="0.25">
      <c r="A1" s="7" t="s">
        <v>117</v>
      </c>
      <c r="B1" s="7" t="s">
        <v>118</v>
      </c>
      <c r="C1" s="7" t="s">
        <v>119</v>
      </c>
      <c r="D1" s="7" t="s">
        <v>120</v>
      </c>
      <c r="E1" s="21" t="s">
        <v>121</v>
      </c>
      <c r="F1" s="21" t="s">
        <v>122</v>
      </c>
      <c r="G1" s="7" t="s">
        <v>123</v>
      </c>
      <c r="H1" s="7" t="s">
        <v>124</v>
      </c>
      <c r="I1" s="7" t="s">
        <v>125</v>
      </c>
      <c r="J1" s="7" t="s">
        <v>126</v>
      </c>
    </row>
    <row r="2" spans="1:10" x14ac:dyDescent="0.25">
      <c r="A2" s="7" t="s">
        <v>127</v>
      </c>
      <c r="B2" s="7" t="s">
        <v>128</v>
      </c>
      <c r="C2" s="18">
        <v>44889</v>
      </c>
      <c r="D2" s="19">
        <v>0.39305555555555555</v>
      </c>
      <c r="E2" s="28">
        <v>-32.209391025826299</v>
      </c>
      <c r="F2" s="28">
        <v>115.76717097312201</v>
      </c>
      <c r="G2" s="7" t="s">
        <v>95</v>
      </c>
      <c r="H2" s="7" t="s">
        <v>129</v>
      </c>
    </row>
    <row r="3" spans="1:10" x14ac:dyDescent="0.25">
      <c r="A3" s="7" t="s">
        <v>130</v>
      </c>
      <c r="B3" s="7" t="s">
        <v>131</v>
      </c>
      <c r="C3" s="18">
        <v>44889</v>
      </c>
      <c r="D3" s="19">
        <v>0.40833333333333338</v>
      </c>
      <c r="E3" s="28">
        <v>-32.207799972966299</v>
      </c>
      <c r="F3" s="28">
        <v>115.768573014065</v>
      </c>
      <c r="G3" s="7" t="s">
        <v>95</v>
      </c>
      <c r="H3" s="7" t="s">
        <v>129</v>
      </c>
    </row>
    <row r="4" spans="1:10" x14ac:dyDescent="0.25">
      <c r="A4" s="7" t="s">
        <v>132</v>
      </c>
      <c r="B4" s="7" t="s">
        <v>133</v>
      </c>
      <c r="C4" s="18">
        <v>44889</v>
      </c>
      <c r="D4" s="19">
        <v>0.41666666666666669</v>
      </c>
      <c r="E4" s="28">
        <v>-32.207317007705498</v>
      </c>
      <c r="F4" s="28">
        <v>115.768919019028</v>
      </c>
      <c r="G4" s="7" t="s">
        <v>95</v>
      </c>
      <c r="H4" s="7" t="s">
        <v>129</v>
      </c>
    </row>
    <row r="5" spans="1:10" x14ac:dyDescent="0.25">
      <c r="A5" s="7" t="s">
        <v>134</v>
      </c>
      <c r="B5" s="7" t="s">
        <v>135</v>
      </c>
      <c r="C5" s="18">
        <v>44889</v>
      </c>
      <c r="D5" s="19">
        <v>0.42499999999999999</v>
      </c>
      <c r="E5" s="28">
        <v>-32.205784963443797</v>
      </c>
      <c r="F5" s="28">
        <v>115.76976299285801</v>
      </c>
      <c r="G5" s="7" t="s">
        <v>95</v>
      </c>
      <c r="H5" s="7" t="s">
        <v>129</v>
      </c>
    </row>
    <row r="6" spans="1:10" x14ac:dyDescent="0.25">
      <c r="A6" s="7" t="s">
        <v>136</v>
      </c>
      <c r="B6" s="7" t="s">
        <v>137</v>
      </c>
      <c r="C6" s="18">
        <v>44889</v>
      </c>
      <c r="D6" s="19">
        <v>0.43124999999999997</v>
      </c>
      <c r="E6" s="28">
        <v>-32.204580986872301</v>
      </c>
      <c r="F6" s="28">
        <v>115.77050797641201</v>
      </c>
      <c r="G6" s="7" t="s">
        <v>95</v>
      </c>
      <c r="H6" s="7" t="s">
        <v>129</v>
      </c>
      <c r="J6" s="7" t="s">
        <v>138</v>
      </c>
    </row>
    <row r="7" spans="1:10" x14ac:dyDescent="0.25">
      <c r="A7" s="7" t="s">
        <v>139</v>
      </c>
      <c r="B7" s="7" t="s">
        <v>140</v>
      </c>
      <c r="C7" s="18">
        <v>44889</v>
      </c>
      <c r="D7" s="19">
        <v>0.43888888888888888</v>
      </c>
      <c r="E7" s="28">
        <v>-32.2025890275835</v>
      </c>
      <c r="F7" s="28">
        <v>115.771775990724</v>
      </c>
      <c r="G7" s="7" t="s">
        <v>95</v>
      </c>
      <c r="H7" s="7" t="s">
        <v>129</v>
      </c>
    </row>
    <row r="8" spans="1:10" x14ac:dyDescent="0.25">
      <c r="A8" s="7" t="s">
        <v>141</v>
      </c>
      <c r="B8" s="7" t="s">
        <v>142</v>
      </c>
      <c r="C8" s="18">
        <v>44889</v>
      </c>
      <c r="D8" s="19">
        <v>0.45069444444444445</v>
      </c>
      <c r="E8" s="28">
        <v>-32.200217032805</v>
      </c>
      <c r="F8" s="28">
        <v>115.772652989253</v>
      </c>
      <c r="G8" s="7" t="s">
        <v>95</v>
      </c>
      <c r="H8" s="7" t="s">
        <v>129</v>
      </c>
    </row>
    <row r="9" spans="1:10" x14ac:dyDescent="0.25">
      <c r="A9" s="7" t="s">
        <v>143</v>
      </c>
      <c r="B9" s="7" t="s">
        <v>144</v>
      </c>
      <c r="C9" s="18">
        <v>44889</v>
      </c>
      <c r="D9" s="19">
        <v>0.46319444444444446</v>
      </c>
      <c r="E9" s="28">
        <v>-32.196554979309397</v>
      </c>
      <c r="F9" s="28">
        <v>115.773732997477</v>
      </c>
      <c r="G9" s="7" t="s">
        <v>95</v>
      </c>
      <c r="H9" s="7" t="s">
        <v>129</v>
      </c>
    </row>
    <row r="10" spans="1:10" x14ac:dyDescent="0.25">
      <c r="A10" s="7" t="s">
        <v>145</v>
      </c>
      <c r="B10" s="7" t="s">
        <v>146</v>
      </c>
      <c r="C10" s="18">
        <v>44889</v>
      </c>
      <c r="D10" s="19">
        <v>0.47083333333333338</v>
      </c>
      <c r="E10" s="28">
        <v>-32.194739961996603</v>
      </c>
      <c r="F10" s="28">
        <v>115.774286035448</v>
      </c>
      <c r="G10" s="7" t="s">
        <v>95</v>
      </c>
      <c r="H10" s="7" t="s">
        <v>129</v>
      </c>
    </row>
    <row r="11" spans="1:10" x14ac:dyDescent="0.25">
      <c r="A11" s="7" t="s">
        <v>147</v>
      </c>
      <c r="B11" s="7" t="s">
        <v>148</v>
      </c>
      <c r="C11" s="18">
        <v>44889</v>
      </c>
      <c r="D11" s="19">
        <v>0.4777777777777778</v>
      </c>
      <c r="E11" s="28">
        <v>-32.192947072908197</v>
      </c>
      <c r="F11" s="28">
        <v>115.77468073926801</v>
      </c>
      <c r="G11" s="7" t="s">
        <v>95</v>
      </c>
      <c r="H11" s="7" t="s">
        <v>129</v>
      </c>
    </row>
    <row r="12" spans="1:10" x14ac:dyDescent="0.25">
      <c r="A12" s="7" t="s">
        <v>149</v>
      </c>
      <c r="B12" s="7" t="s">
        <v>150</v>
      </c>
      <c r="C12" s="18">
        <v>44889</v>
      </c>
      <c r="D12" s="19">
        <v>0.48472222222222222</v>
      </c>
      <c r="E12" s="28">
        <v>-32.190986964851596</v>
      </c>
      <c r="F12" s="28">
        <v>115.77480001375</v>
      </c>
      <c r="G12" s="7" t="s">
        <v>95</v>
      </c>
      <c r="H12" s="7" t="s">
        <v>129</v>
      </c>
    </row>
    <row r="13" spans="1:10" x14ac:dyDescent="0.25">
      <c r="A13" s="7" t="s">
        <v>151</v>
      </c>
      <c r="B13" s="7" t="s">
        <v>152</v>
      </c>
      <c r="C13" s="18">
        <v>44889</v>
      </c>
      <c r="D13" s="19">
        <v>0.4916666666666667</v>
      </c>
      <c r="E13" s="28">
        <v>-32.188872965052703</v>
      </c>
      <c r="F13" s="28">
        <v>115.775094972923</v>
      </c>
      <c r="G13" s="7" t="s">
        <v>95</v>
      </c>
      <c r="H13" s="7" t="s">
        <v>129</v>
      </c>
    </row>
    <row r="14" spans="1:10" x14ac:dyDescent="0.25">
      <c r="A14" s="7" t="s">
        <v>153</v>
      </c>
      <c r="B14" s="7" t="s">
        <v>154</v>
      </c>
      <c r="C14" s="18">
        <v>44889</v>
      </c>
      <c r="D14" s="19">
        <v>0.49861111111111112</v>
      </c>
      <c r="E14" s="28">
        <v>-32.186615969985702</v>
      </c>
      <c r="F14" s="28">
        <v>115.775113999843</v>
      </c>
      <c r="G14" s="7" t="s">
        <v>95</v>
      </c>
      <c r="H14" s="7" t="s">
        <v>129</v>
      </c>
    </row>
    <row r="15" spans="1:10" x14ac:dyDescent="0.25">
      <c r="A15" s="7" t="s">
        <v>155</v>
      </c>
      <c r="B15" s="7" t="s">
        <v>156</v>
      </c>
      <c r="C15" s="18">
        <v>44889</v>
      </c>
      <c r="D15" s="19">
        <v>0.50763888888888886</v>
      </c>
      <c r="E15" s="28">
        <v>-32.185023659840198</v>
      </c>
      <c r="F15" s="28">
        <v>115.77524400316101</v>
      </c>
      <c r="G15" s="7" t="s">
        <v>95</v>
      </c>
      <c r="H15" s="7" t="s">
        <v>129</v>
      </c>
    </row>
    <row r="16" spans="1:10" x14ac:dyDescent="0.25">
      <c r="A16" s="7" t="s">
        <v>157</v>
      </c>
      <c r="B16" s="7" t="s">
        <v>158</v>
      </c>
      <c r="C16" s="18">
        <v>44889</v>
      </c>
      <c r="D16" s="19">
        <v>0.51874999999999993</v>
      </c>
      <c r="E16" s="28">
        <v>-32.182803126052001</v>
      </c>
      <c r="F16" s="28">
        <v>115.775269400328</v>
      </c>
      <c r="G16" s="7" t="s">
        <v>95</v>
      </c>
      <c r="H16" s="7" t="s">
        <v>129</v>
      </c>
    </row>
    <row r="17" spans="1:10" x14ac:dyDescent="0.25">
      <c r="A17" s="7" t="s">
        <v>159</v>
      </c>
      <c r="B17" s="7" t="s">
        <v>160</v>
      </c>
      <c r="C17" s="18">
        <v>44889</v>
      </c>
      <c r="D17" s="19">
        <v>0.55833333333333335</v>
      </c>
      <c r="E17" s="28">
        <v>-32.180962041020301</v>
      </c>
      <c r="F17" s="28">
        <v>115.774894980713</v>
      </c>
      <c r="G17" s="7" t="s">
        <v>95</v>
      </c>
      <c r="H17" s="7" t="s">
        <v>129</v>
      </c>
    </row>
    <row r="18" spans="1:10" x14ac:dyDescent="0.25">
      <c r="A18" s="7" t="s">
        <v>161</v>
      </c>
      <c r="B18" s="7" t="s">
        <v>162</v>
      </c>
      <c r="C18" s="18">
        <v>44889</v>
      </c>
      <c r="D18" s="19">
        <v>0.57222222222222219</v>
      </c>
      <c r="E18" s="28">
        <v>-32.178332973271601</v>
      </c>
      <c r="F18" s="28">
        <v>115.773825030773</v>
      </c>
      <c r="G18" s="7" t="s">
        <v>95</v>
      </c>
      <c r="H18" s="7" t="s">
        <v>129</v>
      </c>
      <c r="J18" s="7" t="s">
        <v>163</v>
      </c>
    </row>
    <row r="19" spans="1:10" x14ac:dyDescent="0.25">
      <c r="A19" s="7" t="s">
        <v>164</v>
      </c>
      <c r="B19" s="7" t="s">
        <v>165</v>
      </c>
      <c r="C19" s="18">
        <v>44889</v>
      </c>
      <c r="D19" s="19">
        <v>0.59583333333333333</v>
      </c>
      <c r="E19" s="28">
        <v>-32.1392550319433</v>
      </c>
      <c r="F19" s="28">
        <v>115.764901991933</v>
      </c>
      <c r="G19" s="7" t="s">
        <v>95</v>
      </c>
      <c r="H19" s="7" t="s">
        <v>129</v>
      </c>
    </row>
    <row r="20" spans="1:10" x14ac:dyDescent="0.25">
      <c r="A20" s="20" t="s">
        <v>164</v>
      </c>
      <c r="B20" s="20" t="s">
        <v>166</v>
      </c>
      <c r="C20" s="18">
        <v>44889</v>
      </c>
      <c r="D20" s="19">
        <v>0.59652777777777777</v>
      </c>
      <c r="E20" s="29">
        <v>-32.1392550319433</v>
      </c>
      <c r="F20" s="29">
        <v>115.764901991933</v>
      </c>
      <c r="G20" s="7" t="s">
        <v>95</v>
      </c>
      <c r="H20" s="7" t="s">
        <v>129</v>
      </c>
      <c r="I20" s="7" t="s">
        <v>167</v>
      </c>
      <c r="J20" s="7" t="s">
        <v>168</v>
      </c>
    </row>
    <row r="21" spans="1:10" x14ac:dyDescent="0.25">
      <c r="A21" s="7" t="s">
        <v>169</v>
      </c>
      <c r="B21" s="7" t="s">
        <v>170</v>
      </c>
      <c r="C21" s="18">
        <v>44889</v>
      </c>
      <c r="D21" s="19">
        <v>0.61458333333333337</v>
      </c>
      <c r="E21" s="28">
        <v>-32.137347981333697</v>
      </c>
      <c r="F21" s="28">
        <v>115.760931987315</v>
      </c>
      <c r="G21" s="7" t="s">
        <v>95</v>
      </c>
      <c r="H21" s="7" t="s">
        <v>129</v>
      </c>
    </row>
    <row r="22" spans="1:10" x14ac:dyDescent="0.25">
      <c r="A22" s="20" t="s">
        <v>169</v>
      </c>
      <c r="B22" s="20" t="s">
        <v>171</v>
      </c>
      <c r="C22" s="18">
        <v>44889</v>
      </c>
      <c r="D22" s="19">
        <v>0.62013888888888891</v>
      </c>
      <c r="E22" s="29">
        <v>-32.137347981333697</v>
      </c>
      <c r="F22" s="29">
        <v>115.760931987315</v>
      </c>
      <c r="G22" s="7" t="s">
        <v>95</v>
      </c>
      <c r="H22" s="7" t="s">
        <v>172</v>
      </c>
      <c r="J22" s="7" t="s">
        <v>173</v>
      </c>
    </row>
    <row r="23" spans="1:10" x14ac:dyDescent="0.25">
      <c r="A23" s="7" t="s">
        <v>174</v>
      </c>
      <c r="B23" s="7" t="s">
        <v>175</v>
      </c>
      <c r="C23" s="18">
        <v>44894</v>
      </c>
      <c r="D23" s="19">
        <v>0.35625000000000001</v>
      </c>
      <c r="E23" s="28">
        <v>-32.275478979572597</v>
      </c>
      <c r="F23" s="28">
        <v>115.709163006395</v>
      </c>
      <c r="G23" s="7" t="s">
        <v>95</v>
      </c>
      <c r="H23" s="7" t="s">
        <v>129</v>
      </c>
    </row>
    <row r="24" spans="1:10" x14ac:dyDescent="0.25">
      <c r="A24" s="7" t="s">
        <v>176</v>
      </c>
      <c r="B24" s="7" t="s">
        <v>177</v>
      </c>
      <c r="C24" s="18">
        <v>44894</v>
      </c>
      <c r="D24" s="19">
        <v>0.3923611111111111</v>
      </c>
      <c r="E24" s="28">
        <v>-32.2751779854297</v>
      </c>
      <c r="F24" s="28">
        <v>115.71385796181799</v>
      </c>
      <c r="G24" s="7" t="s">
        <v>95</v>
      </c>
      <c r="H24" s="7" t="s">
        <v>129</v>
      </c>
    </row>
    <row r="25" spans="1:10" x14ac:dyDescent="0.25">
      <c r="A25" s="7" t="s">
        <v>178</v>
      </c>
      <c r="B25" s="7" t="s">
        <v>179</v>
      </c>
      <c r="C25" s="18">
        <v>44894</v>
      </c>
      <c r="D25" s="19">
        <v>0.40625</v>
      </c>
      <c r="E25" s="28">
        <v>-32.276154980063403</v>
      </c>
      <c r="F25" s="28">
        <v>115.71881602518199</v>
      </c>
      <c r="G25" s="7" t="s">
        <v>95</v>
      </c>
      <c r="H25" s="7" t="s">
        <v>129</v>
      </c>
    </row>
    <row r="26" spans="1:10" x14ac:dyDescent="0.25">
      <c r="A26" s="7" t="s">
        <v>180</v>
      </c>
      <c r="B26" s="7" t="s">
        <v>181</v>
      </c>
      <c r="C26" s="18">
        <v>44894</v>
      </c>
      <c r="D26" s="19">
        <v>0.41319444444444442</v>
      </c>
      <c r="E26" s="28">
        <v>-32.276577008888097</v>
      </c>
      <c r="F26" s="28">
        <v>115.721086012199</v>
      </c>
      <c r="G26" s="7" t="s">
        <v>95</v>
      </c>
      <c r="H26" s="7" t="s">
        <v>129</v>
      </c>
    </row>
    <row r="27" spans="1:10" x14ac:dyDescent="0.25">
      <c r="A27" s="7" t="s">
        <v>182</v>
      </c>
      <c r="B27" s="7" t="s">
        <v>183</v>
      </c>
      <c r="C27" s="18">
        <v>44894</v>
      </c>
      <c r="D27" s="19">
        <v>0.4291666666666667</v>
      </c>
      <c r="E27" s="28">
        <v>-32.276668958365903</v>
      </c>
      <c r="F27" s="28">
        <v>115.72365297004499</v>
      </c>
      <c r="G27" s="7" t="s">
        <v>95</v>
      </c>
      <c r="H27" s="7" t="s">
        <v>129</v>
      </c>
    </row>
    <row r="28" spans="1:10" x14ac:dyDescent="0.25">
      <c r="A28" s="7" t="s">
        <v>184</v>
      </c>
      <c r="B28" s="7" t="s">
        <v>185</v>
      </c>
      <c r="C28" s="18">
        <v>44894</v>
      </c>
      <c r="D28" s="19">
        <v>0.4375</v>
      </c>
      <c r="E28" s="28">
        <v>-32.276060013100498</v>
      </c>
      <c r="F28" s="28">
        <v>115.72582103312</v>
      </c>
      <c r="G28" s="7" t="s">
        <v>95</v>
      </c>
      <c r="H28" s="7" t="s">
        <v>129</v>
      </c>
    </row>
    <row r="29" spans="1:10" x14ac:dyDescent="0.25">
      <c r="A29" s="7" t="s">
        <v>186</v>
      </c>
      <c r="B29" s="7" t="s">
        <v>187</v>
      </c>
      <c r="C29" s="18">
        <v>44894</v>
      </c>
      <c r="D29" s="19">
        <v>0.44930555555555557</v>
      </c>
      <c r="E29" s="28">
        <v>-32.275105984881499</v>
      </c>
      <c r="F29" s="28">
        <v>115.72806302458</v>
      </c>
      <c r="G29" s="7" t="s">
        <v>95</v>
      </c>
      <c r="H29" s="7" t="s">
        <v>129</v>
      </c>
    </row>
    <row r="30" spans="1:10" x14ac:dyDescent="0.25">
      <c r="A30" s="7" t="s">
        <v>188</v>
      </c>
      <c r="B30" s="7" t="s">
        <v>189</v>
      </c>
      <c r="C30" s="18">
        <v>44894</v>
      </c>
      <c r="D30" s="19">
        <v>0.46111111111111108</v>
      </c>
      <c r="E30" s="28">
        <v>-32.274062018841498</v>
      </c>
      <c r="F30" s="28">
        <v>115.730332005769</v>
      </c>
      <c r="G30" s="7" t="s">
        <v>95</v>
      </c>
      <c r="H30" s="7" t="s">
        <v>129</v>
      </c>
    </row>
    <row r="31" spans="1:10" x14ac:dyDescent="0.25">
      <c r="A31" s="7" t="s">
        <v>190</v>
      </c>
      <c r="B31" s="7" t="s">
        <v>191</v>
      </c>
      <c r="C31" s="18">
        <v>44894</v>
      </c>
      <c r="D31" s="19">
        <v>0.47013888888888888</v>
      </c>
      <c r="E31" s="28">
        <v>-32.2728250175714</v>
      </c>
      <c r="F31" s="28">
        <v>115.732370987534</v>
      </c>
      <c r="G31" s="7" t="s">
        <v>95</v>
      </c>
      <c r="H31" s="7" t="s">
        <v>129</v>
      </c>
    </row>
    <row r="32" spans="1:10" x14ac:dyDescent="0.25">
      <c r="A32" s="7" t="s">
        <v>192</v>
      </c>
      <c r="B32" s="7" t="s">
        <v>193</v>
      </c>
      <c r="C32" s="18">
        <v>44894</v>
      </c>
      <c r="D32" s="19">
        <v>0.47847222222222219</v>
      </c>
      <c r="E32" s="28">
        <v>-32.271290961652902</v>
      </c>
      <c r="F32" s="28">
        <v>115.734189022332</v>
      </c>
      <c r="G32" s="7" t="s">
        <v>95</v>
      </c>
      <c r="H32" s="7" t="s">
        <v>129</v>
      </c>
    </row>
    <row r="33" spans="1:10" x14ac:dyDescent="0.25">
      <c r="A33" s="7" t="s">
        <v>194</v>
      </c>
      <c r="B33" s="7" t="s">
        <v>195</v>
      </c>
      <c r="C33" s="18">
        <v>44894</v>
      </c>
      <c r="D33" s="19">
        <v>0.49236111111111108</v>
      </c>
      <c r="E33" s="28">
        <v>-32.269967962056299</v>
      </c>
      <c r="F33" s="28">
        <v>115.73627703823099</v>
      </c>
      <c r="G33" s="7" t="s">
        <v>95</v>
      </c>
      <c r="H33" s="7" t="s">
        <v>129</v>
      </c>
    </row>
    <row r="34" spans="1:10" x14ac:dyDescent="0.25">
      <c r="A34" s="7" t="s">
        <v>196</v>
      </c>
      <c r="B34" s="7" t="s">
        <v>197</v>
      </c>
      <c r="C34" s="18">
        <v>44894</v>
      </c>
      <c r="D34" s="19">
        <v>0.5</v>
      </c>
      <c r="E34" s="28">
        <v>-32.268545972183297</v>
      </c>
      <c r="F34" s="28">
        <v>115.73830101639</v>
      </c>
      <c r="G34" s="7" t="s">
        <v>95</v>
      </c>
      <c r="H34" s="7" t="s">
        <v>129</v>
      </c>
    </row>
    <row r="35" spans="1:10" x14ac:dyDescent="0.25">
      <c r="A35" s="7" t="s">
        <v>198</v>
      </c>
      <c r="B35" s="7" t="s">
        <v>199</v>
      </c>
      <c r="C35" s="18">
        <v>44894</v>
      </c>
      <c r="D35" s="19">
        <v>0.52430555555555558</v>
      </c>
      <c r="E35" s="28">
        <v>-32.264807978644903</v>
      </c>
      <c r="F35" s="28">
        <v>115.742634963244</v>
      </c>
      <c r="G35" s="7" t="s">
        <v>95</v>
      </c>
      <c r="H35" s="7" t="s">
        <v>129</v>
      </c>
    </row>
    <row r="36" spans="1:10" x14ac:dyDescent="0.25">
      <c r="A36" s="7" t="s">
        <v>200</v>
      </c>
      <c r="B36" s="7" t="s">
        <v>201</v>
      </c>
      <c r="C36" s="18">
        <v>44894</v>
      </c>
      <c r="D36" s="19">
        <v>0.53680555555555554</v>
      </c>
      <c r="E36" s="28">
        <v>-32.2610409837216</v>
      </c>
      <c r="F36" s="28">
        <v>115.74596199206999</v>
      </c>
      <c r="G36" s="7" t="s">
        <v>95</v>
      </c>
      <c r="H36" s="7" t="s">
        <v>129</v>
      </c>
    </row>
    <row r="37" spans="1:10" x14ac:dyDescent="0.25">
      <c r="A37" s="7" t="s">
        <v>202</v>
      </c>
      <c r="B37" s="7" t="s">
        <v>203</v>
      </c>
      <c r="C37" s="18">
        <v>44894</v>
      </c>
      <c r="D37" s="19">
        <v>0.54652777777777783</v>
      </c>
      <c r="E37" s="28">
        <v>-32.258885996416197</v>
      </c>
      <c r="F37" s="28">
        <v>115.747957974672</v>
      </c>
      <c r="G37" s="7" t="s">
        <v>95</v>
      </c>
      <c r="H37" s="7" t="s">
        <v>129</v>
      </c>
    </row>
    <row r="38" spans="1:10" x14ac:dyDescent="0.25">
      <c r="A38" s="7" t="s">
        <v>204</v>
      </c>
      <c r="B38" s="7" t="s">
        <v>205</v>
      </c>
      <c r="C38" s="18">
        <v>44894</v>
      </c>
      <c r="D38" s="19">
        <v>0.55486111111111114</v>
      </c>
      <c r="E38" s="28">
        <v>-32.2562600299716</v>
      </c>
      <c r="F38" s="28">
        <v>115.750869009643</v>
      </c>
      <c r="G38" s="7" t="s">
        <v>95</v>
      </c>
      <c r="H38" s="7" t="s">
        <v>129</v>
      </c>
    </row>
    <row r="39" spans="1:10" x14ac:dyDescent="0.25">
      <c r="A39" s="7" t="s">
        <v>206</v>
      </c>
      <c r="B39" s="7" t="s">
        <v>207</v>
      </c>
      <c r="C39" s="18">
        <v>44894</v>
      </c>
      <c r="D39" s="19">
        <v>0.56527777777777777</v>
      </c>
      <c r="E39" s="28">
        <v>-32.2534700296819</v>
      </c>
      <c r="F39" s="28">
        <v>115.75318400748</v>
      </c>
      <c r="G39" s="7" t="s">
        <v>95</v>
      </c>
      <c r="H39" s="7" t="s">
        <v>129</v>
      </c>
    </row>
    <row r="40" spans="1:10" x14ac:dyDescent="0.25">
      <c r="A40" s="20" t="s">
        <v>206</v>
      </c>
      <c r="B40" s="20" t="s">
        <v>208</v>
      </c>
      <c r="C40" s="18">
        <v>44894</v>
      </c>
      <c r="D40" s="19">
        <v>0.56597222222222221</v>
      </c>
      <c r="E40" s="29">
        <v>-32.2534700296819</v>
      </c>
      <c r="F40" s="29">
        <v>115.75318400748</v>
      </c>
      <c r="G40" s="7" t="s">
        <v>95</v>
      </c>
      <c r="H40" s="7" t="s">
        <v>129</v>
      </c>
      <c r="I40" s="7" t="s">
        <v>209</v>
      </c>
      <c r="J40" s="7" t="s">
        <v>168</v>
      </c>
    </row>
    <row r="41" spans="1:10" x14ac:dyDescent="0.25">
      <c r="A41" s="7" t="s">
        <v>210</v>
      </c>
      <c r="B41" s="7" t="s">
        <v>211</v>
      </c>
      <c r="C41" s="18">
        <v>44894</v>
      </c>
      <c r="D41" s="19">
        <v>0.57430555555555551</v>
      </c>
      <c r="E41" s="28">
        <v>-32.252052985131698</v>
      </c>
      <c r="F41" s="28">
        <v>115.754755027592</v>
      </c>
      <c r="G41" s="7" t="s">
        <v>95</v>
      </c>
      <c r="H41" s="7" t="s">
        <v>129</v>
      </c>
    </row>
    <row r="42" spans="1:10" x14ac:dyDescent="0.25">
      <c r="A42" s="7" t="s">
        <v>212</v>
      </c>
      <c r="B42" s="7" t="s">
        <v>213</v>
      </c>
      <c r="C42" s="18">
        <v>44894</v>
      </c>
      <c r="D42" s="19">
        <v>0.58680555555555558</v>
      </c>
      <c r="E42" s="28">
        <v>-32.246775990351999</v>
      </c>
      <c r="F42" s="28">
        <v>115.757364984601</v>
      </c>
      <c r="G42" s="7" t="s">
        <v>95</v>
      </c>
      <c r="H42" s="7" t="s">
        <v>129</v>
      </c>
    </row>
    <row r="43" spans="1:10" x14ac:dyDescent="0.25">
      <c r="A43" s="7" t="s">
        <v>214</v>
      </c>
      <c r="B43" s="7" t="s">
        <v>215</v>
      </c>
      <c r="C43" s="18">
        <v>44894</v>
      </c>
      <c r="D43" s="19">
        <v>0.59375</v>
      </c>
      <c r="E43" s="28">
        <v>-32.245938973501303</v>
      </c>
      <c r="F43" s="28">
        <v>115.757862031459</v>
      </c>
      <c r="G43" s="7" t="s">
        <v>95</v>
      </c>
      <c r="H43" s="7" t="s">
        <v>129</v>
      </c>
    </row>
    <row r="44" spans="1:10" x14ac:dyDescent="0.25">
      <c r="A44" s="7" t="s">
        <v>216</v>
      </c>
      <c r="B44" s="7" t="s">
        <v>217</v>
      </c>
      <c r="C44" s="18">
        <v>44894</v>
      </c>
      <c r="D44" s="19">
        <v>0.60069444444444442</v>
      </c>
      <c r="E44" s="28">
        <v>-32.245077984407502</v>
      </c>
      <c r="F44" s="28">
        <v>115.758189009502</v>
      </c>
      <c r="G44" s="7" t="s">
        <v>95</v>
      </c>
      <c r="H44" s="7" t="s">
        <v>129</v>
      </c>
    </row>
    <row r="45" spans="1:10" x14ac:dyDescent="0.25">
      <c r="A45" s="7" t="s">
        <v>218</v>
      </c>
      <c r="B45" s="7" t="s">
        <v>219</v>
      </c>
      <c r="C45" s="18">
        <v>44894</v>
      </c>
      <c r="D45" s="19">
        <v>0.6069444444444444</v>
      </c>
      <c r="E45" s="28">
        <v>-32.243664963170801</v>
      </c>
      <c r="F45" s="28">
        <v>115.7585770078</v>
      </c>
      <c r="G45" s="7" t="s">
        <v>95</v>
      </c>
      <c r="H45" s="7" t="s">
        <v>129</v>
      </c>
    </row>
    <row r="46" spans="1:10" x14ac:dyDescent="0.25">
      <c r="A46" s="7" t="s">
        <v>220</v>
      </c>
      <c r="B46" s="7" t="s">
        <v>221</v>
      </c>
      <c r="C46" s="18">
        <v>44894</v>
      </c>
      <c r="D46" s="19">
        <v>0.61458333333333337</v>
      </c>
      <c r="E46" s="28">
        <v>-32.2418289911001</v>
      </c>
      <c r="F46" s="28">
        <v>115.759099032729</v>
      </c>
      <c r="G46" s="7" t="s">
        <v>95</v>
      </c>
      <c r="H46" s="7" t="s">
        <v>129</v>
      </c>
    </row>
    <row r="47" spans="1:10" x14ac:dyDescent="0.25">
      <c r="A47" s="20" t="s">
        <v>157</v>
      </c>
      <c r="B47" s="20" t="s">
        <v>222</v>
      </c>
      <c r="C47" s="18">
        <v>44894</v>
      </c>
      <c r="D47" s="19">
        <v>0.6479166666666667</v>
      </c>
      <c r="E47" s="29">
        <v>-32.182803126052001</v>
      </c>
      <c r="F47" s="29">
        <v>115.775269400328</v>
      </c>
      <c r="G47" s="7" t="s">
        <v>95</v>
      </c>
      <c r="H47" s="7" t="s">
        <v>129</v>
      </c>
      <c r="I47" s="7" t="s">
        <v>223</v>
      </c>
      <c r="J47" s="7" t="s">
        <v>224</v>
      </c>
    </row>
    <row r="48" spans="1:10" x14ac:dyDescent="0.25">
      <c r="A48" s="20" t="s">
        <v>157</v>
      </c>
      <c r="B48" s="20" t="s">
        <v>225</v>
      </c>
      <c r="C48" s="18">
        <v>44894</v>
      </c>
      <c r="D48" s="19">
        <v>0.64930555555555558</v>
      </c>
      <c r="E48" s="29">
        <v>-32.182803126052001</v>
      </c>
      <c r="F48" s="29">
        <v>115.775269400328</v>
      </c>
      <c r="G48" s="7" t="s">
        <v>95</v>
      </c>
      <c r="H48" s="7" t="s">
        <v>172</v>
      </c>
      <c r="J48" s="7" t="s">
        <v>173</v>
      </c>
    </row>
    <row r="49" spans="1:10" x14ac:dyDescent="0.25">
      <c r="A49" s="7" t="s">
        <v>226</v>
      </c>
      <c r="B49" s="7" t="s">
        <v>227</v>
      </c>
      <c r="C49" s="18">
        <v>44943</v>
      </c>
      <c r="D49" s="19">
        <v>0.40347222222222223</v>
      </c>
      <c r="E49" s="28">
        <v>-32.215807037428021</v>
      </c>
      <c r="F49" s="28">
        <v>115.76271096244454</v>
      </c>
      <c r="G49" s="7" t="s">
        <v>95</v>
      </c>
      <c r="H49" s="7" t="s">
        <v>129</v>
      </c>
    </row>
    <row r="50" spans="1:10" x14ac:dyDescent="0.25">
      <c r="A50" s="7" t="s">
        <v>228</v>
      </c>
      <c r="B50" s="7" t="s">
        <v>229</v>
      </c>
      <c r="C50" s="18">
        <v>44943</v>
      </c>
      <c r="D50" s="19">
        <v>0.41250000000000003</v>
      </c>
      <c r="E50" s="28">
        <v>-32.215131958946586</v>
      </c>
      <c r="F50" s="28">
        <v>115.76314003206789</v>
      </c>
      <c r="G50" s="7" t="s">
        <v>95</v>
      </c>
      <c r="H50" s="7" t="s">
        <v>129</v>
      </c>
    </row>
    <row r="51" spans="1:10" x14ac:dyDescent="0.25">
      <c r="A51" s="7" t="s">
        <v>230</v>
      </c>
      <c r="B51" s="7" t="s">
        <v>231</v>
      </c>
      <c r="C51" s="18">
        <v>44943</v>
      </c>
      <c r="D51" s="19">
        <v>0.41736111111111113</v>
      </c>
      <c r="E51" s="28">
        <v>-32.214973960071802</v>
      </c>
      <c r="F51" s="28">
        <v>115.76321597211063</v>
      </c>
      <c r="G51" s="7" t="s">
        <v>95</v>
      </c>
      <c r="H51" s="7" t="s">
        <v>129</v>
      </c>
    </row>
    <row r="52" spans="1:10" x14ac:dyDescent="0.25">
      <c r="A52" s="7" t="s">
        <v>232</v>
      </c>
      <c r="B52" s="7" t="s">
        <v>233</v>
      </c>
      <c r="C52" s="18">
        <v>44943</v>
      </c>
      <c r="D52" s="19">
        <v>0.4236111111111111</v>
      </c>
      <c r="E52" s="28">
        <v>-32.2147720400244</v>
      </c>
      <c r="F52" s="28">
        <v>115.76327598653734</v>
      </c>
      <c r="G52" s="7" t="s">
        <v>95</v>
      </c>
      <c r="H52" s="7" t="s">
        <v>129</v>
      </c>
    </row>
    <row r="53" spans="1:10" x14ac:dyDescent="0.25">
      <c r="A53" s="7" t="s">
        <v>234</v>
      </c>
      <c r="B53" s="7" t="s">
        <v>235</v>
      </c>
      <c r="C53" s="18">
        <v>44943</v>
      </c>
      <c r="D53" s="19">
        <v>0.43194444444444446</v>
      </c>
      <c r="E53" s="28">
        <v>-32.214594008401036</v>
      </c>
      <c r="F53" s="28">
        <v>115.76332896016538</v>
      </c>
      <c r="G53" s="7" t="s">
        <v>95</v>
      </c>
      <c r="H53" s="7" t="s">
        <v>129</v>
      </c>
    </row>
    <row r="54" spans="1:10" x14ac:dyDescent="0.25">
      <c r="A54" s="7" t="s">
        <v>236</v>
      </c>
      <c r="B54" s="7" t="s">
        <v>237</v>
      </c>
      <c r="C54" s="18">
        <v>44943</v>
      </c>
      <c r="D54" s="19">
        <v>0.4381944444444445</v>
      </c>
      <c r="E54" s="28">
        <v>-32.214455036446452</v>
      </c>
      <c r="F54" s="28">
        <v>115.76351998373866</v>
      </c>
      <c r="G54" s="7" t="s">
        <v>95</v>
      </c>
      <c r="H54" s="7" t="s">
        <v>129</v>
      </c>
    </row>
    <row r="55" spans="1:10" x14ac:dyDescent="0.25">
      <c r="A55" s="7" t="s">
        <v>238</v>
      </c>
      <c r="B55" s="7" t="s">
        <v>239</v>
      </c>
      <c r="C55" s="18">
        <v>44943</v>
      </c>
      <c r="D55" s="19">
        <v>0.44375000000000003</v>
      </c>
      <c r="E55" s="28">
        <v>-32.214187989011407</v>
      </c>
      <c r="F55" s="28">
        <v>115.7636300381273</v>
      </c>
      <c r="G55" s="7" t="s">
        <v>95</v>
      </c>
      <c r="H55" s="7" t="s">
        <v>129</v>
      </c>
    </row>
    <row r="56" spans="1:10" x14ac:dyDescent="0.25">
      <c r="A56" s="7" t="s">
        <v>240</v>
      </c>
      <c r="B56" s="7" t="s">
        <v>241</v>
      </c>
      <c r="C56" s="18">
        <v>44943</v>
      </c>
      <c r="D56" s="19">
        <v>0.44861111111111113</v>
      </c>
      <c r="E56" s="28">
        <v>-32.21404398791492</v>
      </c>
      <c r="F56" s="28">
        <v>115.76375400647521</v>
      </c>
      <c r="G56" s="7" t="s">
        <v>95</v>
      </c>
      <c r="H56" s="7" t="s">
        <v>129</v>
      </c>
    </row>
    <row r="57" spans="1:10" x14ac:dyDescent="0.25">
      <c r="A57" s="7" t="s">
        <v>242</v>
      </c>
      <c r="B57" s="7" t="s">
        <v>243</v>
      </c>
      <c r="C57" s="18">
        <v>44943</v>
      </c>
      <c r="D57" s="19">
        <v>0.45833333333333331</v>
      </c>
      <c r="E57" s="28">
        <v>-32.213878026232123</v>
      </c>
      <c r="F57" s="28">
        <v>115.76386397704482</v>
      </c>
      <c r="G57" s="7" t="s">
        <v>95</v>
      </c>
      <c r="H57" s="7" t="s">
        <v>129</v>
      </c>
    </row>
    <row r="58" spans="1:10" x14ac:dyDescent="0.25">
      <c r="A58" s="20" t="s">
        <v>242</v>
      </c>
      <c r="B58" s="20" t="s">
        <v>244</v>
      </c>
      <c r="C58" s="18">
        <v>44943</v>
      </c>
      <c r="D58" s="19">
        <v>0.45902777777777781</v>
      </c>
      <c r="E58" s="29">
        <v>-32.213878026232123</v>
      </c>
      <c r="F58" s="29">
        <v>115.76386397704482</v>
      </c>
      <c r="G58" s="7" t="s">
        <v>95</v>
      </c>
      <c r="H58" s="7" t="s">
        <v>129</v>
      </c>
      <c r="I58" s="7" t="s">
        <v>245</v>
      </c>
      <c r="J58" s="7" t="s">
        <v>246</v>
      </c>
    </row>
    <row r="59" spans="1:10" x14ac:dyDescent="0.25">
      <c r="A59" s="7" t="s">
        <v>247</v>
      </c>
      <c r="B59" s="7" t="s">
        <v>248</v>
      </c>
      <c r="C59" s="18">
        <v>44943</v>
      </c>
      <c r="D59" s="19">
        <v>0.46527777777777773</v>
      </c>
      <c r="E59" s="28">
        <v>-32.213630005717278</v>
      </c>
      <c r="F59" s="28">
        <v>115.76400697231293</v>
      </c>
      <c r="G59" s="7" t="s">
        <v>95</v>
      </c>
      <c r="H59" s="7" t="s">
        <v>129</v>
      </c>
    </row>
    <row r="60" spans="1:10" x14ac:dyDescent="0.25">
      <c r="A60" s="7" t="s">
        <v>249</v>
      </c>
      <c r="B60" s="7" t="s">
        <v>250</v>
      </c>
      <c r="C60" s="18">
        <v>44943</v>
      </c>
      <c r="D60" s="19">
        <v>0.47152777777777777</v>
      </c>
      <c r="E60" s="28">
        <v>-32.213432025164366</v>
      </c>
      <c r="F60" s="28">
        <v>115.76412700116634</v>
      </c>
      <c r="G60" s="7" t="s">
        <v>95</v>
      </c>
      <c r="H60" s="7" t="s">
        <v>129</v>
      </c>
    </row>
    <row r="61" spans="1:10" x14ac:dyDescent="0.25">
      <c r="A61" s="7" t="s">
        <v>251</v>
      </c>
      <c r="B61" s="7" t="s">
        <v>252</v>
      </c>
      <c r="C61" s="18">
        <v>44943</v>
      </c>
      <c r="D61" s="19">
        <v>0.47986111111111113</v>
      </c>
      <c r="E61" s="28">
        <v>-32.213230021297932</v>
      </c>
      <c r="F61" s="28">
        <v>115.76424996368587</v>
      </c>
      <c r="G61" s="7" t="s">
        <v>95</v>
      </c>
      <c r="H61" s="7" t="s">
        <v>129</v>
      </c>
    </row>
    <row r="62" spans="1:10" x14ac:dyDescent="0.25">
      <c r="A62" s="7" t="s">
        <v>253</v>
      </c>
      <c r="B62" s="7" t="s">
        <v>254</v>
      </c>
      <c r="C62" s="18">
        <v>44943</v>
      </c>
      <c r="D62" s="19">
        <v>0.4861111111111111</v>
      </c>
      <c r="E62" s="28">
        <v>-32.213066993281245</v>
      </c>
      <c r="F62" s="28">
        <v>115.76442296616733</v>
      </c>
      <c r="G62" s="7" t="s">
        <v>95</v>
      </c>
      <c r="H62" s="7" t="s">
        <v>129</v>
      </c>
    </row>
    <row r="63" spans="1:10" x14ac:dyDescent="0.25">
      <c r="A63" s="7" t="s">
        <v>255</v>
      </c>
      <c r="B63" s="7" t="s">
        <v>256</v>
      </c>
      <c r="C63" s="18">
        <v>44943</v>
      </c>
      <c r="D63" s="19">
        <v>0.4916666666666667</v>
      </c>
      <c r="E63" s="28">
        <v>-32.212934978306293</v>
      </c>
      <c r="F63" s="28">
        <v>115.76450997032225</v>
      </c>
      <c r="G63" s="7" t="s">
        <v>95</v>
      </c>
      <c r="H63" s="7" t="s">
        <v>129</v>
      </c>
    </row>
    <row r="64" spans="1:10" x14ac:dyDescent="0.25">
      <c r="A64" s="7" t="s">
        <v>257</v>
      </c>
      <c r="B64" s="7" t="s">
        <v>258</v>
      </c>
      <c r="C64" s="18">
        <v>44943</v>
      </c>
      <c r="D64" s="19">
        <v>0.53194444444444444</v>
      </c>
      <c r="E64" s="28">
        <v>-32.212749989703298</v>
      </c>
      <c r="F64" s="28">
        <v>115.76462396420538</v>
      </c>
      <c r="G64" s="7" t="s">
        <v>95</v>
      </c>
      <c r="H64" s="7" t="s">
        <v>129</v>
      </c>
    </row>
    <row r="65" spans="1:10" x14ac:dyDescent="0.25">
      <c r="A65" s="7" t="s">
        <v>259</v>
      </c>
      <c r="B65" s="7" t="s">
        <v>260</v>
      </c>
      <c r="C65" s="18">
        <v>44943</v>
      </c>
      <c r="D65" s="19">
        <v>0.53888888888888886</v>
      </c>
      <c r="E65" s="28">
        <v>-32.212557038292289</v>
      </c>
      <c r="F65" s="28">
        <v>115.76472898945212</v>
      </c>
      <c r="G65" s="7" t="s">
        <v>95</v>
      </c>
      <c r="H65" s="7" t="s">
        <v>129</v>
      </c>
    </row>
    <row r="66" spans="1:10" x14ac:dyDescent="0.25">
      <c r="A66" s="7" t="s">
        <v>261</v>
      </c>
      <c r="B66" s="7" t="s">
        <v>262</v>
      </c>
      <c r="C66" s="18">
        <v>44943</v>
      </c>
      <c r="D66" s="19">
        <v>0.54375000000000007</v>
      </c>
      <c r="E66" s="28">
        <v>-32.212379006668925</v>
      </c>
      <c r="F66" s="28">
        <v>115.76484298333526</v>
      </c>
      <c r="G66" s="7" t="s">
        <v>95</v>
      </c>
      <c r="H66" s="7" t="s">
        <v>129</v>
      </c>
    </row>
    <row r="67" spans="1:10" x14ac:dyDescent="0.25">
      <c r="A67" s="7" t="s">
        <v>263</v>
      </c>
      <c r="B67" s="7" t="s">
        <v>264</v>
      </c>
      <c r="C67" s="18">
        <v>44943</v>
      </c>
      <c r="D67" s="19">
        <v>0.55069444444444449</v>
      </c>
      <c r="E67" s="28">
        <v>-32.210919968783855</v>
      </c>
      <c r="F67" s="28">
        <v>115.7661270070821</v>
      </c>
      <c r="G67" s="7" t="s">
        <v>95</v>
      </c>
      <c r="H67" s="7" t="s">
        <v>129</v>
      </c>
    </row>
    <row r="68" spans="1:10" x14ac:dyDescent="0.25">
      <c r="A68" s="20" t="s">
        <v>263</v>
      </c>
      <c r="B68" s="20" t="s">
        <v>265</v>
      </c>
      <c r="C68" s="18">
        <v>44943</v>
      </c>
      <c r="D68" s="19">
        <v>0.55625000000000002</v>
      </c>
      <c r="E68" s="29">
        <v>-32.210919968783855</v>
      </c>
      <c r="F68" s="29">
        <v>115.7661270070821</v>
      </c>
      <c r="G68" s="7" t="s">
        <v>95</v>
      </c>
      <c r="H68" s="7" t="s">
        <v>172</v>
      </c>
      <c r="J68" s="7" t="s">
        <v>266</v>
      </c>
    </row>
    <row r="69" spans="1:10" x14ac:dyDescent="0.25">
      <c r="A69" s="20" t="s">
        <v>157</v>
      </c>
      <c r="B69" s="20" t="s">
        <v>267</v>
      </c>
      <c r="C69" s="18">
        <v>44943</v>
      </c>
      <c r="D69" s="19">
        <v>0.58819444444444446</v>
      </c>
      <c r="E69" s="29">
        <v>-32.182803126052001</v>
      </c>
      <c r="F69" s="29">
        <v>115.775269400328</v>
      </c>
      <c r="G69" s="7" t="s">
        <v>95</v>
      </c>
      <c r="H69" s="7" t="s">
        <v>129</v>
      </c>
      <c r="I69" s="7" t="s">
        <v>223</v>
      </c>
      <c r="J69" s="7" t="s">
        <v>268</v>
      </c>
    </row>
    <row r="70" spans="1:10" x14ac:dyDescent="0.25">
      <c r="A70" s="7" t="s">
        <v>269</v>
      </c>
      <c r="B70" s="7" t="s">
        <v>270</v>
      </c>
      <c r="C70" s="18">
        <v>44944</v>
      </c>
      <c r="D70" s="19">
        <v>0.3520833333333333</v>
      </c>
      <c r="E70" s="28">
        <v>-32.237614989280701</v>
      </c>
      <c r="F70" s="28">
        <v>115.7598779629916</v>
      </c>
      <c r="G70" s="7" t="s">
        <v>95</v>
      </c>
      <c r="H70" s="7" t="s">
        <v>129</v>
      </c>
    </row>
    <row r="71" spans="1:10" x14ac:dyDescent="0.25">
      <c r="A71" s="7" t="s">
        <v>271</v>
      </c>
      <c r="B71" s="7" t="s">
        <v>272</v>
      </c>
      <c r="C71" s="18">
        <v>44944</v>
      </c>
      <c r="D71" s="19">
        <v>0.36458333333333331</v>
      </c>
      <c r="E71" s="28">
        <v>-32.237135963514447</v>
      </c>
      <c r="F71" s="28">
        <v>115.75983596965671</v>
      </c>
      <c r="G71" s="7" t="s">
        <v>95</v>
      </c>
      <c r="H71" s="7" t="s">
        <v>129</v>
      </c>
    </row>
    <row r="72" spans="1:10" x14ac:dyDescent="0.25">
      <c r="A72" s="7" t="s">
        <v>273</v>
      </c>
      <c r="B72" s="7" t="s">
        <v>274</v>
      </c>
      <c r="C72" s="18">
        <v>44944</v>
      </c>
      <c r="D72" s="19">
        <v>0.375</v>
      </c>
      <c r="E72" s="28">
        <v>-32.236737990751863</v>
      </c>
      <c r="F72" s="28">
        <v>115.75971401296556</v>
      </c>
      <c r="G72" s="7" t="s">
        <v>95</v>
      </c>
      <c r="H72" s="7" t="s">
        <v>129</v>
      </c>
    </row>
    <row r="73" spans="1:10" x14ac:dyDescent="0.25">
      <c r="A73" s="7" t="s">
        <v>275</v>
      </c>
      <c r="B73" s="7" t="s">
        <v>276</v>
      </c>
      <c r="C73" s="18">
        <v>44944</v>
      </c>
      <c r="D73" s="19">
        <v>0.37916666666666665</v>
      </c>
      <c r="E73" s="28">
        <v>-32.23641000688076</v>
      </c>
      <c r="F73" s="28">
        <v>115.75958702713251</v>
      </c>
      <c r="G73" s="7" t="s">
        <v>95</v>
      </c>
      <c r="H73" s="7" t="s">
        <v>129</v>
      </c>
    </row>
    <row r="74" spans="1:10" x14ac:dyDescent="0.25">
      <c r="A74" s="7" t="s">
        <v>277</v>
      </c>
      <c r="B74" s="7" t="s">
        <v>278</v>
      </c>
      <c r="C74" s="18">
        <v>44944</v>
      </c>
      <c r="D74" s="19">
        <v>0.38611111111111113</v>
      </c>
      <c r="E74" s="28">
        <v>-32.236100966110826</v>
      </c>
      <c r="F74" s="28">
        <v>115.75950597412884</v>
      </c>
      <c r="G74" s="7" t="s">
        <v>95</v>
      </c>
      <c r="H74" s="7" t="s">
        <v>129</v>
      </c>
    </row>
    <row r="75" spans="1:10" x14ac:dyDescent="0.25">
      <c r="A75" s="7" t="s">
        <v>279</v>
      </c>
      <c r="B75" s="7" t="s">
        <v>280</v>
      </c>
      <c r="C75" s="18">
        <v>44944</v>
      </c>
      <c r="D75" s="19">
        <v>0.3923611111111111</v>
      </c>
      <c r="E75" s="28">
        <v>-32.235737023875117</v>
      </c>
      <c r="F75" s="28">
        <v>115.7593560218811</v>
      </c>
      <c r="G75" s="7" t="s">
        <v>95</v>
      </c>
      <c r="H75" s="7" t="s">
        <v>129</v>
      </c>
    </row>
    <row r="76" spans="1:10" x14ac:dyDescent="0.25">
      <c r="A76" s="7" t="s">
        <v>281</v>
      </c>
      <c r="B76" s="7" t="s">
        <v>282</v>
      </c>
      <c r="C76" s="18">
        <v>44944</v>
      </c>
      <c r="D76" s="19">
        <v>0.39930555555555558</v>
      </c>
      <c r="E76" s="28">
        <v>-32.234710995107889</v>
      </c>
      <c r="F76" s="28">
        <v>115.75942902825773</v>
      </c>
      <c r="G76" s="7" t="s">
        <v>95</v>
      </c>
      <c r="H76" s="7" t="s">
        <v>129</v>
      </c>
    </row>
    <row r="77" spans="1:10" x14ac:dyDescent="0.25">
      <c r="A77" s="20" t="s">
        <v>281</v>
      </c>
      <c r="B77" s="20" t="s">
        <v>283</v>
      </c>
      <c r="C77" s="18">
        <v>44944</v>
      </c>
      <c r="D77" s="19">
        <v>0.39999999999999997</v>
      </c>
      <c r="E77" s="29">
        <v>-32.234710995107889</v>
      </c>
      <c r="F77" s="29">
        <v>115.75942902825773</v>
      </c>
      <c r="G77" s="7" t="s">
        <v>95</v>
      </c>
      <c r="H77" s="7" t="s">
        <v>129</v>
      </c>
      <c r="I77" s="7" t="s">
        <v>284</v>
      </c>
      <c r="J77" s="7" t="s">
        <v>246</v>
      </c>
    </row>
    <row r="78" spans="1:10" x14ac:dyDescent="0.25">
      <c r="A78" s="7" t="s">
        <v>285</v>
      </c>
      <c r="B78" s="7" t="s">
        <v>286</v>
      </c>
      <c r="C78" s="18">
        <v>44944</v>
      </c>
      <c r="D78" s="19">
        <v>0.40625</v>
      </c>
      <c r="E78" s="28">
        <v>-32.233324963599443</v>
      </c>
      <c r="F78" s="28">
        <v>115.75884397141635</v>
      </c>
      <c r="G78" s="7" t="s">
        <v>95</v>
      </c>
      <c r="H78" s="7" t="s">
        <v>129</v>
      </c>
    </row>
    <row r="79" spans="1:10" x14ac:dyDescent="0.25">
      <c r="A79" s="7" t="s">
        <v>287</v>
      </c>
      <c r="B79" s="7" t="s">
        <v>288</v>
      </c>
      <c r="C79" s="18">
        <v>44944</v>
      </c>
      <c r="D79" s="19">
        <v>0.43194444444444446</v>
      </c>
      <c r="E79" s="28">
        <v>-32.231514975428581</v>
      </c>
      <c r="F79" s="28">
        <v>115.75880398973823</v>
      </c>
      <c r="G79" s="7" t="s">
        <v>95</v>
      </c>
      <c r="H79" s="7" t="s">
        <v>129</v>
      </c>
    </row>
    <row r="80" spans="1:10" x14ac:dyDescent="0.25">
      <c r="A80" s="7" t="s">
        <v>289</v>
      </c>
      <c r="B80" s="7" t="s">
        <v>290</v>
      </c>
      <c r="C80" s="18">
        <v>44944</v>
      </c>
      <c r="D80" s="19">
        <v>0.44791666666666669</v>
      </c>
      <c r="E80" s="28">
        <v>-32.229431988671422</v>
      </c>
      <c r="F80" s="28">
        <v>115.75819202698767</v>
      </c>
      <c r="G80" s="7" t="s">
        <v>95</v>
      </c>
      <c r="H80" s="7" t="s">
        <v>129</v>
      </c>
    </row>
    <row r="81" spans="1:10" x14ac:dyDescent="0.25">
      <c r="A81" s="7" t="s">
        <v>291</v>
      </c>
      <c r="B81" s="7" t="s">
        <v>292</v>
      </c>
      <c r="C81" s="18">
        <v>44944</v>
      </c>
      <c r="D81" s="19">
        <v>0.52222222222222225</v>
      </c>
      <c r="E81" s="28">
        <v>-32.218472985550761</v>
      </c>
      <c r="F81" s="28">
        <v>115.75983898714185</v>
      </c>
      <c r="G81" s="7" t="s">
        <v>95</v>
      </c>
      <c r="H81" s="7" t="s">
        <v>129</v>
      </c>
    </row>
    <row r="82" spans="1:10" x14ac:dyDescent="0.25">
      <c r="A82" s="7" t="s">
        <v>293</v>
      </c>
      <c r="B82" s="7" t="s">
        <v>294</v>
      </c>
      <c r="C82" s="18">
        <v>44944</v>
      </c>
      <c r="D82" s="19">
        <v>0.53194444444444444</v>
      </c>
      <c r="E82" s="28">
        <v>-32.219906039535999</v>
      </c>
      <c r="F82" s="28">
        <v>115.7586480025202</v>
      </c>
      <c r="G82" s="7" t="s">
        <v>95</v>
      </c>
      <c r="H82" s="7" t="s">
        <v>129</v>
      </c>
    </row>
    <row r="83" spans="1:10" x14ac:dyDescent="0.25">
      <c r="A83" s="7" t="s">
        <v>295</v>
      </c>
      <c r="B83" s="7" t="s">
        <v>296</v>
      </c>
      <c r="C83" s="18">
        <v>44944</v>
      </c>
      <c r="D83" s="19">
        <v>0.54375000000000007</v>
      </c>
      <c r="E83" s="28">
        <v>-32.223285036161542</v>
      </c>
      <c r="F83" s="28">
        <v>115.75673902407289</v>
      </c>
      <c r="G83" s="7" t="s">
        <v>95</v>
      </c>
      <c r="H83" s="7" t="s">
        <v>129</v>
      </c>
    </row>
    <row r="84" spans="1:10" x14ac:dyDescent="0.25">
      <c r="A84" s="7" t="s">
        <v>297</v>
      </c>
      <c r="B84" s="7" t="s">
        <v>298</v>
      </c>
      <c r="C84" s="18">
        <v>44944</v>
      </c>
      <c r="D84" s="19">
        <v>0.55277777777777781</v>
      </c>
      <c r="E84" s="28">
        <v>-32.224750025197864</v>
      </c>
      <c r="F84" s="28">
        <v>115.75609697028995</v>
      </c>
      <c r="G84" s="7" t="s">
        <v>95</v>
      </c>
      <c r="H84" s="7" t="s">
        <v>129</v>
      </c>
    </row>
    <row r="85" spans="1:10" x14ac:dyDescent="0.25">
      <c r="A85" s="20" t="s">
        <v>297</v>
      </c>
      <c r="B85" s="20" t="s">
        <v>299</v>
      </c>
      <c r="C85" s="18">
        <v>44944</v>
      </c>
      <c r="D85" s="19">
        <v>0.55625000000000002</v>
      </c>
      <c r="E85" s="29">
        <v>-32.224750025197864</v>
      </c>
      <c r="F85" s="29">
        <v>115.75609697028995</v>
      </c>
      <c r="G85" s="7" t="s">
        <v>95</v>
      </c>
      <c r="H85" s="7" t="s">
        <v>172</v>
      </c>
      <c r="J85" s="7" t="s">
        <v>266</v>
      </c>
    </row>
    <row r="86" spans="1:10" x14ac:dyDescent="0.25">
      <c r="A86" s="7" t="s">
        <v>300</v>
      </c>
      <c r="B86" s="7" t="s">
        <v>301</v>
      </c>
      <c r="C86" s="18">
        <v>44945</v>
      </c>
      <c r="D86" s="19">
        <v>0.3888888888888889</v>
      </c>
      <c r="E86" s="28">
        <v>-32.241398999467492</v>
      </c>
      <c r="F86" s="28">
        <v>115.7593560218811</v>
      </c>
      <c r="G86" s="7" t="s">
        <v>95</v>
      </c>
      <c r="H86" s="7" t="s">
        <v>129</v>
      </c>
    </row>
    <row r="87" spans="1:10" x14ac:dyDescent="0.25">
      <c r="A87" s="7" t="s">
        <v>302</v>
      </c>
      <c r="B87" s="7" t="s">
        <v>303</v>
      </c>
      <c r="C87" s="18">
        <v>44945</v>
      </c>
      <c r="D87" s="19">
        <v>0.40208333333333335</v>
      </c>
      <c r="E87" s="28">
        <v>-32.240915028378367</v>
      </c>
      <c r="F87" s="28">
        <v>115.75948200188577</v>
      </c>
      <c r="G87" s="7" t="s">
        <v>95</v>
      </c>
      <c r="H87" s="7" t="s">
        <v>129</v>
      </c>
    </row>
    <row r="88" spans="1:10" x14ac:dyDescent="0.25">
      <c r="A88" s="7" t="s">
        <v>304</v>
      </c>
      <c r="B88" s="7" t="s">
        <v>305</v>
      </c>
      <c r="C88" s="18">
        <v>44945</v>
      </c>
      <c r="D88" s="19">
        <v>0.40833333333333338</v>
      </c>
      <c r="E88" s="28">
        <v>-32.24045000039041</v>
      </c>
      <c r="F88" s="28">
        <v>115.75966900214553</v>
      </c>
      <c r="G88" s="7" t="s">
        <v>95</v>
      </c>
      <c r="H88" s="7" t="s">
        <v>129</v>
      </c>
    </row>
    <row r="89" spans="1:10" x14ac:dyDescent="0.25">
      <c r="A89" s="7" t="s">
        <v>306</v>
      </c>
      <c r="B89" s="7" t="s">
        <v>307</v>
      </c>
      <c r="C89" s="18">
        <v>44945</v>
      </c>
      <c r="D89" s="19">
        <v>0.41875000000000001</v>
      </c>
      <c r="E89" s="28">
        <v>-32.23986703902483</v>
      </c>
      <c r="F89" s="28">
        <v>115.75980998575687</v>
      </c>
      <c r="G89" s="7" t="s">
        <v>95</v>
      </c>
      <c r="H89" s="7" t="s">
        <v>129</v>
      </c>
    </row>
    <row r="90" spans="1:10" x14ac:dyDescent="0.25">
      <c r="A90" s="20" t="s">
        <v>308</v>
      </c>
      <c r="B90" s="20" t="s">
        <v>309</v>
      </c>
      <c r="C90" s="18">
        <v>44945</v>
      </c>
      <c r="D90" s="19">
        <v>0.41944444444444445</v>
      </c>
      <c r="E90" s="29">
        <v>-32.23986703902483</v>
      </c>
      <c r="F90" s="29">
        <v>115.75980998575687</v>
      </c>
      <c r="G90" s="7" t="s">
        <v>95</v>
      </c>
      <c r="H90" s="7" t="s">
        <v>129</v>
      </c>
      <c r="I90" s="7" t="s">
        <v>310</v>
      </c>
      <c r="J90" s="7" t="s">
        <v>246</v>
      </c>
    </row>
    <row r="91" spans="1:10" x14ac:dyDescent="0.25">
      <c r="A91" s="7" t="s">
        <v>308</v>
      </c>
      <c r="B91" s="7" t="s">
        <v>311</v>
      </c>
      <c r="C91" s="18">
        <v>44945</v>
      </c>
      <c r="D91" s="19">
        <v>0.42777777777777781</v>
      </c>
      <c r="E91" s="28">
        <v>-32.239268990233541</v>
      </c>
      <c r="F91" s="28">
        <v>115.75985097326338</v>
      </c>
      <c r="G91" s="7" t="s">
        <v>95</v>
      </c>
      <c r="H91" s="7" t="s">
        <v>129</v>
      </c>
    </row>
    <row r="92" spans="1:10" x14ac:dyDescent="0.25">
      <c r="A92" s="7" t="s">
        <v>312</v>
      </c>
      <c r="B92" s="7" t="s">
        <v>313</v>
      </c>
      <c r="C92" s="18">
        <v>44945</v>
      </c>
      <c r="D92" s="19">
        <v>0.43611111111111112</v>
      </c>
      <c r="E92" s="28">
        <v>-32.238735985010862</v>
      </c>
      <c r="F92" s="28">
        <v>115.75984896160662</v>
      </c>
      <c r="G92" s="7" t="s">
        <v>95</v>
      </c>
      <c r="H92" s="7" t="s">
        <v>129</v>
      </c>
    </row>
    <row r="93" spans="1:10" x14ac:dyDescent="0.25">
      <c r="A93" s="7" t="s">
        <v>314</v>
      </c>
      <c r="B93" s="7" t="s">
        <v>315</v>
      </c>
      <c r="C93" s="18">
        <v>44945</v>
      </c>
      <c r="D93" s="19">
        <v>0.44305555555555554</v>
      </c>
      <c r="E93" s="28">
        <v>-32.23812117241323</v>
      </c>
      <c r="F93" s="28">
        <v>115.75973161496222</v>
      </c>
      <c r="G93" s="7" t="s">
        <v>95</v>
      </c>
      <c r="H93" s="7" t="s">
        <v>129</v>
      </c>
      <c r="J93" s="7" t="s">
        <v>316</v>
      </c>
    </row>
    <row r="94" spans="1:10" x14ac:dyDescent="0.25">
      <c r="A94" s="20" t="s">
        <v>314</v>
      </c>
      <c r="B94" s="20" t="s">
        <v>317</v>
      </c>
      <c r="C94" s="18">
        <v>44945</v>
      </c>
      <c r="D94" s="19">
        <v>0.4458333333333333</v>
      </c>
      <c r="E94" s="29">
        <v>-32.23812117241323</v>
      </c>
      <c r="F94" s="29">
        <v>115.75973161496222</v>
      </c>
      <c r="G94" s="7" t="s">
        <v>95</v>
      </c>
      <c r="H94" s="7" t="s">
        <v>172</v>
      </c>
      <c r="J94" s="7" t="s">
        <v>266</v>
      </c>
    </row>
    <row r="95" spans="1:10" x14ac:dyDescent="0.25">
      <c r="A95" s="20" t="s">
        <v>157</v>
      </c>
      <c r="B95" s="20" t="s">
        <v>318</v>
      </c>
      <c r="C95" s="18">
        <v>44945</v>
      </c>
      <c r="D95" s="19">
        <v>0.48680555555555555</v>
      </c>
      <c r="E95" s="29">
        <v>-32.182803126052001</v>
      </c>
      <c r="F95" s="29">
        <v>115.775269400328</v>
      </c>
      <c r="G95" s="7" t="s">
        <v>95</v>
      </c>
      <c r="H95" s="7" t="s">
        <v>129</v>
      </c>
      <c r="I95" s="7" t="s">
        <v>223</v>
      </c>
      <c r="J95" s="7" t="s">
        <v>268</v>
      </c>
    </row>
    <row r="96" spans="1:10" x14ac:dyDescent="0.25">
      <c r="A96" s="20" t="s">
        <v>157</v>
      </c>
      <c r="B96" s="20" t="s">
        <v>319</v>
      </c>
      <c r="C96" s="18">
        <v>45456</v>
      </c>
      <c r="D96" s="19">
        <v>0.41666666666666669</v>
      </c>
      <c r="E96" s="29">
        <v>-32.182803126052001</v>
      </c>
      <c r="F96" s="29">
        <v>115.775269400328</v>
      </c>
      <c r="G96" s="7" t="s">
        <v>95</v>
      </c>
      <c r="H96" s="7" t="s">
        <v>129</v>
      </c>
      <c r="I96" s="7" t="s">
        <v>223</v>
      </c>
      <c r="J96" s="7" t="s">
        <v>320</v>
      </c>
    </row>
    <row r="97" spans="1:10" x14ac:dyDescent="0.25">
      <c r="A97" s="7" t="s">
        <v>321</v>
      </c>
      <c r="B97" s="7" t="s">
        <v>322</v>
      </c>
      <c r="C97" s="18">
        <v>45456</v>
      </c>
      <c r="D97" s="19">
        <v>0.44305555555555554</v>
      </c>
      <c r="E97" s="28">
        <v>-32.243665968999267</v>
      </c>
      <c r="F97" s="28">
        <v>115.75859896838665</v>
      </c>
      <c r="G97" s="7" t="s">
        <v>95</v>
      </c>
      <c r="H97" s="7" t="s">
        <v>129</v>
      </c>
      <c r="I97" s="7" t="s">
        <v>323</v>
      </c>
    </row>
    <row r="98" spans="1:10" x14ac:dyDescent="0.25">
      <c r="A98" s="7" t="s">
        <v>324</v>
      </c>
      <c r="B98" s="7" t="s">
        <v>325</v>
      </c>
      <c r="C98" s="18">
        <v>45456</v>
      </c>
      <c r="D98" s="19">
        <v>0.45277777777777778</v>
      </c>
      <c r="E98" s="28">
        <v>-32.243447033688426</v>
      </c>
      <c r="F98" s="28">
        <v>115.75867096893489</v>
      </c>
      <c r="G98" s="7" t="s">
        <v>95</v>
      </c>
      <c r="H98" s="7" t="s">
        <v>129</v>
      </c>
    </row>
    <row r="99" spans="1:10" x14ac:dyDescent="0.25">
      <c r="A99" s="7" t="s">
        <v>326</v>
      </c>
      <c r="B99" s="7" t="s">
        <v>327</v>
      </c>
      <c r="C99" s="18">
        <v>45456</v>
      </c>
      <c r="D99" s="19">
        <v>0.46180555555555558</v>
      </c>
      <c r="E99" s="28">
        <v>-32.24324100650847</v>
      </c>
      <c r="F99" s="28">
        <v>115.75871597975492</v>
      </c>
      <c r="G99" s="7" t="s">
        <v>95</v>
      </c>
      <c r="H99" s="7" t="s">
        <v>129</v>
      </c>
    </row>
    <row r="100" spans="1:10" x14ac:dyDescent="0.25">
      <c r="A100" s="7" t="s">
        <v>328</v>
      </c>
      <c r="B100" s="7" t="s">
        <v>329</v>
      </c>
      <c r="C100" s="18">
        <v>45456</v>
      </c>
      <c r="D100" s="19">
        <v>0.47222222222222221</v>
      </c>
      <c r="E100" s="28">
        <v>-32.243016036227345</v>
      </c>
      <c r="F100" s="28">
        <v>115.75877700001001</v>
      </c>
      <c r="G100" s="7" t="s">
        <v>95</v>
      </c>
      <c r="H100" s="7" t="s">
        <v>129</v>
      </c>
    </row>
    <row r="101" spans="1:10" x14ac:dyDescent="0.25">
      <c r="A101" s="7" t="s">
        <v>330</v>
      </c>
      <c r="B101" s="7" t="s">
        <v>331</v>
      </c>
      <c r="C101" s="18">
        <v>45456</v>
      </c>
      <c r="D101" s="19">
        <v>0.4826388888888889</v>
      </c>
      <c r="E101" s="28">
        <v>-32.242792993783951</v>
      </c>
      <c r="F101" s="28">
        <v>115.75883600860834</v>
      </c>
      <c r="G101" s="7" t="s">
        <v>95</v>
      </c>
      <c r="H101" s="7" t="s">
        <v>129</v>
      </c>
    </row>
    <row r="102" spans="1:10" x14ac:dyDescent="0.25">
      <c r="A102" s="7" t="s">
        <v>332</v>
      </c>
      <c r="B102" s="7" t="s">
        <v>333</v>
      </c>
      <c r="C102" s="18">
        <v>45456</v>
      </c>
      <c r="D102" s="19">
        <v>0.49444444444444446</v>
      </c>
      <c r="E102" s="28">
        <v>-32.242564000189304</v>
      </c>
      <c r="F102" s="28">
        <v>115.7589260302484</v>
      </c>
      <c r="G102" s="7" t="s">
        <v>95</v>
      </c>
      <c r="H102" s="7" t="s">
        <v>129</v>
      </c>
    </row>
    <row r="103" spans="1:10" x14ac:dyDescent="0.25">
      <c r="A103" s="7" t="s">
        <v>334</v>
      </c>
      <c r="B103" s="7" t="s">
        <v>335</v>
      </c>
      <c r="C103" s="18">
        <v>45456</v>
      </c>
      <c r="D103" s="19">
        <v>0.50347222222222221</v>
      </c>
      <c r="E103" s="28">
        <v>-32.242478001862764</v>
      </c>
      <c r="F103" s="28">
        <v>115.75895000249147</v>
      </c>
      <c r="G103" s="7" t="s">
        <v>95</v>
      </c>
      <c r="H103" s="7" t="s">
        <v>129</v>
      </c>
    </row>
    <row r="104" spans="1:10" x14ac:dyDescent="0.25">
      <c r="A104" s="7" t="s">
        <v>336</v>
      </c>
      <c r="B104" s="7" t="s">
        <v>337</v>
      </c>
      <c r="C104" s="18">
        <v>45456</v>
      </c>
      <c r="D104" s="19">
        <v>0.50694444444444442</v>
      </c>
      <c r="E104" s="28">
        <v>-32.24238202907145</v>
      </c>
      <c r="F104" s="28">
        <v>115.75896198861301</v>
      </c>
      <c r="G104" s="7" t="s">
        <v>95</v>
      </c>
      <c r="H104" s="7" t="s">
        <v>129</v>
      </c>
    </row>
    <row r="105" spans="1:10" x14ac:dyDescent="0.25">
      <c r="A105" s="7" t="s">
        <v>338</v>
      </c>
      <c r="B105" s="7" t="s">
        <v>339</v>
      </c>
      <c r="C105" s="18">
        <v>45456</v>
      </c>
      <c r="D105" s="19">
        <v>0.51388888888888884</v>
      </c>
      <c r="E105" s="28">
        <v>-32.242288989946246</v>
      </c>
      <c r="F105" s="28">
        <v>115.75897598639131</v>
      </c>
      <c r="G105" s="7" t="s">
        <v>95</v>
      </c>
      <c r="H105" s="7" t="s">
        <v>129</v>
      </c>
    </row>
    <row r="106" spans="1:10" x14ac:dyDescent="0.25">
      <c r="A106" s="7" t="s">
        <v>340</v>
      </c>
      <c r="B106" s="7" t="s">
        <v>341</v>
      </c>
      <c r="C106" s="18">
        <v>45456</v>
      </c>
      <c r="D106" s="19">
        <v>0.52083333333333337</v>
      </c>
      <c r="E106" s="28">
        <v>-32.242185976356268</v>
      </c>
      <c r="F106" s="28">
        <v>115.75901001691818</v>
      </c>
      <c r="G106" s="7" t="s">
        <v>95</v>
      </c>
      <c r="H106" s="7" t="s">
        <v>129</v>
      </c>
    </row>
    <row r="107" spans="1:10" x14ac:dyDescent="0.25">
      <c r="A107" s="7" t="s">
        <v>342</v>
      </c>
      <c r="B107" s="7" t="s">
        <v>343</v>
      </c>
      <c r="C107" s="18">
        <v>45456</v>
      </c>
      <c r="D107" s="19">
        <v>0.52777777777777779</v>
      </c>
      <c r="E107" s="28">
        <v>-32.242117999121547</v>
      </c>
      <c r="F107" s="28">
        <v>115.75903801247478</v>
      </c>
      <c r="G107" s="7" t="s">
        <v>95</v>
      </c>
      <c r="H107" s="7" t="s">
        <v>129</v>
      </c>
    </row>
    <row r="108" spans="1:10" x14ac:dyDescent="0.25">
      <c r="A108" s="7" t="s">
        <v>344</v>
      </c>
      <c r="B108" s="7" t="s">
        <v>345</v>
      </c>
      <c r="C108" s="18">
        <v>45456</v>
      </c>
      <c r="D108" s="19">
        <v>0.53472222222222221</v>
      </c>
      <c r="E108" s="28">
        <v>-32.242025965824723</v>
      </c>
      <c r="F108" s="28">
        <v>115.75907003134489</v>
      </c>
      <c r="G108" s="7" t="s">
        <v>95</v>
      </c>
      <c r="H108" s="7" t="s">
        <v>129</v>
      </c>
    </row>
    <row r="109" spans="1:10" x14ac:dyDescent="0.25">
      <c r="A109" s="7" t="s">
        <v>346</v>
      </c>
      <c r="B109" s="7" t="s">
        <v>347</v>
      </c>
      <c r="C109" s="18">
        <v>45456</v>
      </c>
      <c r="D109" s="19">
        <v>0.54166666666666663</v>
      </c>
      <c r="E109" s="28">
        <v>-32.241924041882157</v>
      </c>
      <c r="F109" s="28">
        <v>115.75911303050816</v>
      </c>
      <c r="G109" s="7" t="s">
        <v>95</v>
      </c>
      <c r="H109" s="7" t="s">
        <v>129</v>
      </c>
    </row>
    <row r="110" spans="1:10" x14ac:dyDescent="0.25">
      <c r="A110" s="7" t="s">
        <v>348</v>
      </c>
      <c r="B110" s="7" t="s">
        <v>349</v>
      </c>
      <c r="C110" s="18">
        <v>45456</v>
      </c>
      <c r="D110" s="19">
        <v>0.58402777777777781</v>
      </c>
      <c r="E110" s="28">
        <v>-32.241813987493515</v>
      </c>
      <c r="F110" s="28">
        <v>115.75912300497293</v>
      </c>
      <c r="G110" s="7" t="s">
        <v>95</v>
      </c>
      <c r="H110" s="7" t="s">
        <v>129</v>
      </c>
      <c r="I110" s="7" t="s">
        <v>350</v>
      </c>
    </row>
    <row r="111" spans="1:10" x14ac:dyDescent="0.25">
      <c r="A111" s="7" t="s">
        <v>351</v>
      </c>
      <c r="B111" s="7" t="s">
        <v>352</v>
      </c>
      <c r="C111" s="18">
        <v>45456</v>
      </c>
      <c r="D111" s="19">
        <v>0.58402777777777781</v>
      </c>
      <c r="E111" s="28">
        <v>-32.241813987493501</v>
      </c>
      <c r="F111" s="28">
        <v>115.75912300497301</v>
      </c>
      <c r="G111" s="7" t="s">
        <v>95</v>
      </c>
      <c r="H111" s="7" t="s">
        <v>129</v>
      </c>
      <c r="I111" s="7" t="s">
        <v>353</v>
      </c>
      <c r="J111" s="7" t="s">
        <v>354</v>
      </c>
    </row>
    <row r="112" spans="1:10" x14ac:dyDescent="0.25">
      <c r="A112" s="7" t="s">
        <v>355</v>
      </c>
      <c r="B112" s="7" t="s">
        <v>356</v>
      </c>
      <c r="C112" s="18">
        <v>45456</v>
      </c>
      <c r="D112" s="19">
        <v>0.61458333333333337</v>
      </c>
      <c r="E112" s="28">
        <v>-32.241828991100192</v>
      </c>
      <c r="F112" s="28">
        <v>115.75934302993119</v>
      </c>
      <c r="G112" s="7" t="s">
        <v>95</v>
      </c>
      <c r="H112" s="7" t="s">
        <v>129</v>
      </c>
      <c r="J112" s="7" t="s">
        <v>357</v>
      </c>
    </row>
    <row r="113" spans="1:10" x14ac:dyDescent="0.25">
      <c r="A113" s="7" t="s">
        <v>358</v>
      </c>
      <c r="B113" s="7" t="s">
        <v>359</v>
      </c>
      <c r="C113" s="18">
        <v>45456</v>
      </c>
      <c r="D113" s="19">
        <v>0.62152777777777779</v>
      </c>
      <c r="E113" s="28">
        <v>-32.241813987493515</v>
      </c>
      <c r="F113" s="28">
        <v>115.7592820096761</v>
      </c>
      <c r="G113" s="7" t="s">
        <v>95</v>
      </c>
      <c r="H113" s="7" t="s">
        <v>129</v>
      </c>
      <c r="J113" s="7" t="s">
        <v>360</v>
      </c>
    </row>
    <row r="114" spans="1:10" x14ac:dyDescent="0.25">
      <c r="A114" s="7" t="s">
        <v>361</v>
      </c>
      <c r="B114" s="7" t="s">
        <v>362</v>
      </c>
      <c r="C114" s="18">
        <v>45456</v>
      </c>
      <c r="D114" s="19">
        <v>0.62847222222222221</v>
      </c>
      <c r="E114" s="28">
        <v>-32.241805018857121</v>
      </c>
      <c r="F114" s="28">
        <v>115.759213026613</v>
      </c>
      <c r="G114" s="7" t="s">
        <v>95</v>
      </c>
      <c r="H114" s="7" t="s">
        <v>129</v>
      </c>
      <c r="J114" s="7" t="s">
        <v>363</v>
      </c>
    </row>
    <row r="115" spans="1:10" x14ac:dyDescent="0.25">
      <c r="A115" s="7" t="s">
        <v>364</v>
      </c>
      <c r="B115" s="7" t="s">
        <v>365</v>
      </c>
      <c r="C115" s="18">
        <v>45456</v>
      </c>
      <c r="D115" s="19">
        <v>0.63888888888888884</v>
      </c>
      <c r="E115" s="28">
        <v>-32.241808036342263</v>
      </c>
      <c r="F115" s="28">
        <v>115.75913096778095</v>
      </c>
      <c r="G115" s="7" t="s">
        <v>95</v>
      </c>
      <c r="H115" s="7" t="s">
        <v>129</v>
      </c>
    </row>
    <row r="116" spans="1:10" x14ac:dyDescent="0.25">
      <c r="A116" s="7" t="s">
        <v>366</v>
      </c>
      <c r="B116" s="7" t="s">
        <v>367</v>
      </c>
      <c r="C116" s="18">
        <v>45456</v>
      </c>
      <c r="D116" s="19">
        <v>0.64583333333333337</v>
      </c>
      <c r="E116" s="28">
        <v>-32.242494011297822</v>
      </c>
      <c r="F116" s="28">
        <v>115.75915100052953</v>
      </c>
      <c r="G116" s="7" t="s">
        <v>95</v>
      </c>
      <c r="H116" s="7" t="s">
        <v>129</v>
      </c>
      <c r="J116" s="7" t="s">
        <v>368</v>
      </c>
    </row>
    <row r="117" spans="1:10" x14ac:dyDescent="0.25">
      <c r="A117" s="7" t="s">
        <v>369</v>
      </c>
      <c r="B117" s="7" t="s">
        <v>370</v>
      </c>
      <c r="C117" s="18">
        <v>45456</v>
      </c>
      <c r="D117" s="19">
        <v>0.65277777777777779</v>
      </c>
      <c r="E117" s="28">
        <v>-32.242483031004667</v>
      </c>
      <c r="F117" s="28">
        <v>115.75908101163805</v>
      </c>
      <c r="G117" s="7" t="s">
        <v>95</v>
      </c>
      <c r="H117" s="7" t="s">
        <v>129</v>
      </c>
      <c r="J117" s="7" t="s">
        <v>371</v>
      </c>
    </row>
    <row r="118" spans="1:10" x14ac:dyDescent="0.25">
      <c r="A118" s="7" t="s">
        <v>372</v>
      </c>
      <c r="B118" s="7" t="s">
        <v>373</v>
      </c>
      <c r="C118" s="18">
        <v>45456</v>
      </c>
      <c r="D118" s="19">
        <v>0.65972222222222221</v>
      </c>
      <c r="E118" s="28">
        <v>-32.242478001862764</v>
      </c>
      <c r="F118" s="28">
        <v>115.75904798693955</v>
      </c>
      <c r="G118" s="7" t="s">
        <v>95</v>
      </c>
      <c r="H118" s="7" t="s">
        <v>129</v>
      </c>
      <c r="J118" s="7" t="s">
        <v>363</v>
      </c>
    </row>
    <row r="119" spans="1:10" x14ac:dyDescent="0.25">
      <c r="A119" s="7" t="s">
        <v>374</v>
      </c>
      <c r="B119" s="7" t="s">
        <v>375</v>
      </c>
      <c r="C119" s="18">
        <v>45456</v>
      </c>
      <c r="D119" s="19">
        <v>0.66736111111111107</v>
      </c>
      <c r="E119" s="28">
        <v>-32.242452017962933</v>
      </c>
      <c r="F119" s="28">
        <v>115.75889996252954</v>
      </c>
      <c r="G119" s="7" t="s">
        <v>95</v>
      </c>
      <c r="H119" s="7" t="s">
        <v>129</v>
      </c>
    </row>
    <row r="120" spans="1:10" x14ac:dyDescent="0.25">
      <c r="A120" s="20" t="s">
        <v>374</v>
      </c>
      <c r="B120" s="20" t="s">
        <v>376</v>
      </c>
      <c r="C120" s="18">
        <v>45456</v>
      </c>
      <c r="D120" s="19">
        <v>0.67152777777777772</v>
      </c>
      <c r="E120" s="29">
        <v>-32.242452017962933</v>
      </c>
      <c r="F120" s="29">
        <v>115.75889996252954</v>
      </c>
      <c r="G120" s="7" t="s">
        <v>95</v>
      </c>
      <c r="H120" s="7" t="s">
        <v>172</v>
      </c>
    </row>
    <row r="121" spans="1:10" x14ac:dyDescent="0.25">
      <c r="A121" s="7" t="s">
        <v>377</v>
      </c>
      <c r="B121" s="7" t="s">
        <v>378</v>
      </c>
      <c r="C121" s="18">
        <v>45278</v>
      </c>
      <c r="D121" s="19">
        <v>0.375</v>
      </c>
      <c r="E121" s="28">
        <v>-32.142910000000001</v>
      </c>
      <c r="F121" s="28">
        <v>115.76509</v>
      </c>
      <c r="G121" s="7" t="s">
        <v>95</v>
      </c>
      <c r="H121" s="7" t="s">
        <v>379</v>
      </c>
    </row>
    <row r="122" spans="1:10" x14ac:dyDescent="0.25">
      <c r="A122" s="7" t="s">
        <v>380</v>
      </c>
      <c r="B122" s="7" t="s">
        <v>381</v>
      </c>
      <c r="C122" s="18">
        <v>45278</v>
      </c>
      <c r="D122" s="19">
        <v>0.38472222222222219</v>
      </c>
      <c r="E122" s="28">
        <v>-32.149209999999997</v>
      </c>
      <c r="F122" s="28">
        <v>115.76582999999999</v>
      </c>
      <c r="G122" s="7" t="s">
        <v>95</v>
      </c>
      <c r="H122" s="7" t="s">
        <v>379</v>
      </c>
    </row>
    <row r="123" spans="1:10" x14ac:dyDescent="0.25">
      <c r="A123" s="7" t="s">
        <v>382</v>
      </c>
      <c r="B123" s="7" t="s">
        <v>383</v>
      </c>
      <c r="C123" s="18">
        <v>45278</v>
      </c>
      <c r="D123" s="19">
        <v>0.41250000000000003</v>
      </c>
      <c r="E123" s="28">
        <v>-32.169040000000003</v>
      </c>
      <c r="F123" s="28">
        <v>115.76898</v>
      </c>
      <c r="G123" s="7" t="s">
        <v>95</v>
      </c>
      <c r="H123" s="7" t="s">
        <v>379</v>
      </c>
    </row>
    <row r="124" spans="1:10" x14ac:dyDescent="0.25">
      <c r="A124" s="7" t="s">
        <v>384</v>
      </c>
      <c r="B124" s="7" t="s">
        <v>385</v>
      </c>
      <c r="C124" s="18">
        <v>45278</v>
      </c>
      <c r="D124" s="19">
        <v>0.42638888888888887</v>
      </c>
      <c r="E124" s="28">
        <v>-32.173679999999997</v>
      </c>
      <c r="F124" s="28">
        <v>115.77104</v>
      </c>
      <c r="G124" s="7" t="s">
        <v>95</v>
      </c>
      <c r="H124" s="7" t="s">
        <v>379</v>
      </c>
    </row>
    <row r="125" spans="1:10" x14ac:dyDescent="0.25">
      <c r="A125" s="7" t="s">
        <v>386</v>
      </c>
      <c r="B125" s="7" t="s">
        <v>387</v>
      </c>
      <c r="C125" s="18">
        <v>45278</v>
      </c>
      <c r="D125" s="19">
        <v>0.44027777777777777</v>
      </c>
      <c r="E125" s="28">
        <v>-32.178449999999998</v>
      </c>
      <c r="F125" s="28">
        <v>115.77279</v>
      </c>
      <c r="G125" s="7" t="s">
        <v>95</v>
      </c>
      <c r="H125" s="7" t="s">
        <v>379</v>
      </c>
    </row>
    <row r="126" spans="1:10" x14ac:dyDescent="0.25">
      <c r="A126" s="7" t="s">
        <v>388</v>
      </c>
      <c r="B126" s="7" t="s">
        <v>389</v>
      </c>
      <c r="C126" s="18">
        <v>45278</v>
      </c>
      <c r="D126" s="19">
        <v>0.45347222222222222</v>
      </c>
      <c r="E126" s="28">
        <v>-32.182859999999998</v>
      </c>
      <c r="F126" s="28">
        <v>115.77397999999999</v>
      </c>
      <c r="G126" s="7" t="s">
        <v>95</v>
      </c>
      <c r="H126" s="7" t="s">
        <v>379</v>
      </c>
    </row>
    <row r="127" spans="1:10" x14ac:dyDescent="0.25">
      <c r="A127" s="7" t="s">
        <v>390</v>
      </c>
      <c r="B127" s="7" t="s">
        <v>391</v>
      </c>
      <c r="C127" s="18">
        <v>45278</v>
      </c>
      <c r="D127" s="19">
        <v>0.45833333333333331</v>
      </c>
      <c r="E127" s="28">
        <v>-32.18289</v>
      </c>
      <c r="F127" s="28">
        <v>115.77499</v>
      </c>
      <c r="G127" s="7" t="s">
        <v>95</v>
      </c>
      <c r="H127" s="7" t="s">
        <v>379</v>
      </c>
    </row>
    <row r="128" spans="1:10" x14ac:dyDescent="0.25">
      <c r="A128" s="7" t="s">
        <v>392</v>
      </c>
      <c r="B128" s="7" t="s">
        <v>393</v>
      </c>
      <c r="C128" s="18">
        <v>45278</v>
      </c>
      <c r="D128" s="19">
        <v>0.4694444444444445</v>
      </c>
      <c r="E128" s="28">
        <v>-32.182899999999997</v>
      </c>
      <c r="F128" s="28">
        <v>115.77497</v>
      </c>
      <c r="G128" s="7" t="s">
        <v>95</v>
      </c>
      <c r="H128" s="7" t="s">
        <v>379</v>
      </c>
    </row>
    <row r="129" spans="1:8" x14ac:dyDescent="0.25">
      <c r="A129" s="7" t="s">
        <v>394</v>
      </c>
      <c r="B129" s="7" t="s">
        <v>395</v>
      </c>
      <c r="C129" s="18">
        <v>45278</v>
      </c>
      <c r="D129" s="19">
        <v>0.48402777777777778</v>
      </c>
      <c r="E129" s="28">
        <v>-32.192709999999998</v>
      </c>
      <c r="F129" s="28">
        <v>115.77352</v>
      </c>
      <c r="G129" s="7" t="s">
        <v>95</v>
      </c>
      <c r="H129" s="7" t="s">
        <v>379</v>
      </c>
    </row>
    <row r="130" spans="1:8" x14ac:dyDescent="0.25">
      <c r="A130" s="7" t="s">
        <v>396</v>
      </c>
      <c r="B130" s="7" t="s">
        <v>397</v>
      </c>
      <c r="C130" s="18">
        <v>45278</v>
      </c>
      <c r="D130" s="19">
        <v>0.4916666666666667</v>
      </c>
      <c r="E130" s="28">
        <v>-32.207039999999999</v>
      </c>
      <c r="F130" s="28">
        <v>115.76824999999999</v>
      </c>
      <c r="G130" s="7" t="s">
        <v>95</v>
      </c>
      <c r="H130" s="7" t="s">
        <v>379</v>
      </c>
    </row>
    <row r="131" spans="1:8" x14ac:dyDescent="0.25">
      <c r="A131" s="7" t="s">
        <v>398</v>
      </c>
      <c r="B131" s="7" t="s">
        <v>399</v>
      </c>
      <c r="C131" s="18">
        <v>45278</v>
      </c>
      <c r="D131" s="19">
        <v>0.5</v>
      </c>
      <c r="E131" s="28">
        <v>-32.212989999999998</v>
      </c>
      <c r="F131" s="28">
        <v>115.76361</v>
      </c>
      <c r="G131" s="7" t="s">
        <v>95</v>
      </c>
      <c r="H131" s="7" t="s">
        <v>379</v>
      </c>
    </row>
    <row r="132" spans="1:8" x14ac:dyDescent="0.25">
      <c r="A132" s="7" t="s">
        <v>400</v>
      </c>
      <c r="B132" s="7" t="s">
        <v>401</v>
      </c>
      <c r="C132" s="18">
        <v>45278</v>
      </c>
      <c r="D132" s="19">
        <v>0.5083333333333333</v>
      </c>
      <c r="E132" s="28">
        <v>-32.214460000000003</v>
      </c>
      <c r="F132" s="28">
        <v>115.76231</v>
      </c>
      <c r="G132" s="7" t="s">
        <v>95</v>
      </c>
      <c r="H132" s="7" t="s">
        <v>379</v>
      </c>
    </row>
    <row r="133" spans="1:8" x14ac:dyDescent="0.25">
      <c r="A133" s="7" t="s">
        <v>402</v>
      </c>
      <c r="B133" s="7" t="s">
        <v>403</v>
      </c>
      <c r="C133" s="18">
        <v>45278</v>
      </c>
      <c r="D133" s="19">
        <v>0.52083333333333337</v>
      </c>
      <c r="E133" s="28">
        <v>-32.233469999999997</v>
      </c>
      <c r="F133" s="28">
        <v>115.75762</v>
      </c>
      <c r="G133" s="7" t="s">
        <v>95</v>
      </c>
      <c r="H133" s="7" t="s">
        <v>379</v>
      </c>
    </row>
    <row r="134" spans="1:8" x14ac:dyDescent="0.25">
      <c r="A134" s="7" t="s">
        <v>404</v>
      </c>
      <c r="B134" s="7" t="s">
        <v>405</v>
      </c>
      <c r="C134" s="18">
        <v>45278</v>
      </c>
      <c r="D134" s="19">
        <v>0.52986111111111112</v>
      </c>
      <c r="E134" s="28">
        <v>-32.237209999999997</v>
      </c>
      <c r="F134" s="28">
        <v>115.75881</v>
      </c>
      <c r="G134" s="7" t="s">
        <v>95</v>
      </c>
      <c r="H134" s="7" t="s">
        <v>379</v>
      </c>
    </row>
    <row r="135" spans="1:8" x14ac:dyDescent="0.25">
      <c r="A135" s="7" t="s">
        <v>406</v>
      </c>
      <c r="B135" s="7" t="s">
        <v>407</v>
      </c>
      <c r="C135" s="18">
        <v>45278</v>
      </c>
      <c r="D135" s="19">
        <v>0.54166666666666663</v>
      </c>
      <c r="E135" s="28">
        <v>-32.239669999999997</v>
      </c>
      <c r="F135" s="28">
        <v>115.75895</v>
      </c>
      <c r="G135" s="7" t="s">
        <v>95</v>
      </c>
      <c r="H135" s="7" t="s">
        <v>379</v>
      </c>
    </row>
    <row r="136" spans="1:8" x14ac:dyDescent="0.25">
      <c r="A136" s="7" t="s">
        <v>408</v>
      </c>
      <c r="B136" s="7" t="s">
        <v>409</v>
      </c>
      <c r="C136" s="18">
        <v>45278</v>
      </c>
      <c r="D136" s="19">
        <v>0.54722222222222217</v>
      </c>
      <c r="E136" s="28">
        <v>-32.24221</v>
      </c>
      <c r="F136" s="28">
        <v>115.75824</v>
      </c>
      <c r="G136" s="7" t="s">
        <v>95</v>
      </c>
      <c r="H136" s="7" t="s">
        <v>379</v>
      </c>
    </row>
    <row r="137" spans="1:8" x14ac:dyDescent="0.25">
      <c r="A137" s="7" t="s">
        <v>410</v>
      </c>
      <c r="B137" s="7" t="s">
        <v>411</v>
      </c>
      <c r="C137" s="18">
        <v>45278</v>
      </c>
      <c r="D137" s="19">
        <v>0.55902777777777779</v>
      </c>
      <c r="E137" s="28">
        <v>-32.245660000000001</v>
      </c>
      <c r="F137" s="28">
        <v>115.75721</v>
      </c>
      <c r="G137" s="7" t="s">
        <v>95</v>
      </c>
      <c r="H137" s="7" t="s">
        <v>379</v>
      </c>
    </row>
    <row r="138" spans="1:8" x14ac:dyDescent="0.25">
      <c r="A138" s="7" t="s">
        <v>412</v>
      </c>
      <c r="B138" s="7" t="s">
        <v>413</v>
      </c>
      <c r="C138" s="18">
        <v>45278</v>
      </c>
      <c r="D138" s="19">
        <v>0.56944444444444442</v>
      </c>
      <c r="E138" s="28">
        <v>-32.255659999999999</v>
      </c>
      <c r="F138" s="28">
        <v>115.7499</v>
      </c>
      <c r="G138" s="7" t="s">
        <v>95</v>
      </c>
      <c r="H138" s="7" t="s">
        <v>379</v>
      </c>
    </row>
    <row r="139" spans="1:8" x14ac:dyDescent="0.25">
      <c r="A139" s="7" t="s">
        <v>414</v>
      </c>
      <c r="B139" s="7" t="s">
        <v>415</v>
      </c>
      <c r="C139" s="18">
        <v>45278</v>
      </c>
      <c r="D139" s="19">
        <v>0.57986111111111105</v>
      </c>
      <c r="E139" s="28">
        <v>-32.260449999999999</v>
      </c>
      <c r="F139" s="28">
        <v>115.74493</v>
      </c>
      <c r="G139" s="7" t="s">
        <v>95</v>
      </c>
      <c r="H139" s="7" t="s">
        <v>379</v>
      </c>
    </row>
    <row r="140" spans="1:8" x14ac:dyDescent="0.25">
      <c r="A140" s="7" t="s">
        <v>416</v>
      </c>
      <c r="B140" s="7" t="s">
        <v>417</v>
      </c>
      <c r="C140" s="18">
        <v>45278</v>
      </c>
      <c r="D140" s="19">
        <v>0.59375</v>
      </c>
      <c r="E140" s="28">
        <v>-32.275910000000003</v>
      </c>
      <c r="F140" s="28">
        <v>115.7253</v>
      </c>
      <c r="G140" s="7" t="s">
        <v>95</v>
      </c>
      <c r="H140" s="7" t="s">
        <v>379</v>
      </c>
    </row>
    <row r="141" spans="1:8" x14ac:dyDescent="0.25">
      <c r="A141" s="7" t="s">
        <v>418</v>
      </c>
      <c r="B141" s="7" t="s">
        <v>419</v>
      </c>
      <c r="C141" s="18">
        <v>45279</v>
      </c>
      <c r="D141" s="19">
        <v>0.375</v>
      </c>
      <c r="E141" s="28">
        <v>-32.241860000000003</v>
      </c>
      <c r="F141" s="28">
        <v>115.75677</v>
      </c>
      <c r="G141" s="7" t="s">
        <v>95</v>
      </c>
      <c r="H141" s="7" t="s">
        <v>379</v>
      </c>
    </row>
    <row r="142" spans="1:8" x14ac:dyDescent="0.25">
      <c r="A142" s="7" t="s">
        <v>420</v>
      </c>
      <c r="B142" s="7" t="s">
        <v>421</v>
      </c>
      <c r="C142" s="18">
        <v>45279</v>
      </c>
      <c r="D142" s="19">
        <v>0.3840277777777778</v>
      </c>
      <c r="E142" s="28">
        <v>-32.239350000000002</v>
      </c>
      <c r="F142" s="28">
        <v>115.75708</v>
      </c>
      <c r="G142" s="7" t="s">
        <v>95</v>
      </c>
      <c r="H142" s="7" t="s">
        <v>379</v>
      </c>
    </row>
    <row r="143" spans="1:8" x14ac:dyDescent="0.25">
      <c r="A143" s="7" t="s">
        <v>422</v>
      </c>
      <c r="B143" s="7" t="s">
        <v>423</v>
      </c>
      <c r="C143" s="18">
        <v>45279</v>
      </c>
      <c r="D143" s="19">
        <v>0.39930555555555558</v>
      </c>
      <c r="E143" s="28">
        <v>-32.214889999999997</v>
      </c>
      <c r="F143" s="28">
        <v>115.75167999999999</v>
      </c>
      <c r="G143" s="7" t="s">
        <v>95</v>
      </c>
      <c r="H143" s="7" t="s">
        <v>379</v>
      </c>
    </row>
    <row r="144" spans="1:8" x14ac:dyDescent="0.25">
      <c r="A144" s="7" t="s">
        <v>422</v>
      </c>
      <c r="B144" s="7" t="s">
        <v>424</v>
      </c>
      <c r="C144" s="18">
        <v>45279</v>
      </c>
      <c r="D144" s="19">
        <v>0.40277777777777773</v>
      </c>
      <c r="E144" s="28">
        <v>-32.214889999999997</v>
      </c>
      <c r="F144" s="28">
        <v>115.75167999999999</v>
      </c>
      <c r="G144" s="7" t="s">
        <v>95</v>
      </c>
      <c r="H144" s="7" t="s">
        <v>172</v>
      </c>
    </row>
    <row r="145" spans="1:11" x14ac:dyDescent="0.25">
      <c r="A145" s="7" t="s">
        <v>425</v>
      </c>
      <c r="B145" s="7" t="s">
        <v>426</v>
      </c>
      <c r="C145" s="18">
        <v>45279</v>
      </c>
      <c r="D145" s="19">
        <v>0.41666666666666669</v>
      </c>
      <c r="E145" s="28">
        <v>-32.208080000000002</v>
      </c>
      <c r="F145" s="28">
        <v>115.74894</v>
      </c>
      <c r="G145" s="7" t="s">
        <v>95</v>
      </c>
      <c r="H145" s="7" t="s">
        <v>379</v>
      </c>
      <c r="J145" s="7" t="s">
        <v>427</v>
      </c>
    </row>
    <row r="146" spans="1:11" x14ac:dyDescent="0.25">
      <c r="A146" s="7" t="s">
        <v>428</v>
      </c>
      <c r="B146" s="7" t="s">
        <v>429</v>
      </c>
      <c r="C146" s="18">
        <v>45279</v>
      </c>
      <c r="D146" s="19">
        <v>0.4375</v>
      </c>
      <c r="E146" s="28">
        <v>-32.19773</v>
      </c>
      <c r="F146" s="28">
        <v>115.74721</v>
      </c>
      <c r="G146" s="7" t="s">
        <v>95</v>
      </c>
      <c r="H146" s="7" t="s">
        <v>379</v>
      </c>
      <c r="J146" s="7" t="s">
        <v>427</v>
      </c>
    </row>
    <row r="147" spans="1:11" x14ac:dyDescent="0.25">
      <c r="A147" s="7" t="s">
        <v>430</v>
      </c>
      <c r="B147" s="7" t="s">
        <v>431</v>
      </c>
      <c r="C147" s="18">
        <v>45279</v>
      </c>
      <c r="D147" s="19">
        <v>0.46875</v>
      </c>
      <c r="E147" s="28">
        <v>-32.197470000000003</v>
      </c>
      <c r="F147" s="28">
        <v>115.68404</v>
      </c>
      <c r="G147" s="7" t="s">
        <v>95</v>
      </c>
      <c r="H147" s="7" t="s">
        <v>379</v>
      </c>
      <c r="J147" s="7" t="s">
        <v>432</v>
      </c>
    </row>
    <row r="148" spans="1:11" x14ac:dyDescent="0.25">
      <c r="A148" s="7" t="s">
        <v>433</v>
      </c>
      <c r="B148" s="7" t="s">
        <v>434</v>
      </c>
      <c r="C148" s="18">
        <v>45279</v>
      </c>
      <c r="D148" s="19">
        <v>0.52083333333333337</v>
      </c>
      <c r="E148" s="28">
        <v>-32.145902960000001</v>
      </c>
      <c r="F148" s="28">
        <v>115.75585580000001</v>
      </c>
      <c r="G148" s="7" t="s">
        <v>95</v>
      </c>
      <c r="H148" s="7" t="s">
        <v>379</v>
      </c>
      <c r="J148" s="7" t="s">
        <v>435</v>
      </c>
    </row>
    <row r="149" spans="1:11" x14ac:dyDescent="0.25">
      <c r="A149" s="7" t="s">
        <v>436</v>
      </c>
      <c r="B149" s="7" t="s">
        <v>437</v>
      </c>
      <c r="C149" s="18">
        <v>45279</v>
      </c>
      <c r="D149" s="19">
        <v>0.54513888888888895</v>
      </c>
      <c r="E149" s="28">
        <v>-32.145299999999999</v>
      </c>
      <c r="F149" s="28">
        <v>115.73459</v>
      </c>
      <c r="G149" s="7" t="s">
        <v>95</v>
      </c>
      <c r="H149" s="7" t="s">
        <v>379</v>
      </c>
    </row>
    <row r="150" spans="1:11" x14ac:dyDescent="0.25">
      <c r="A150" s="7" t="s">
        <v>438</v>
      </c>
      <c r="B150" s="7" t="s">
        <v>439</v>
      </c>
      <c r="C150" s="18">
        <v>45279</v>
      </c>
      <c r="D150" s="22">
        <v>0.55555555555555558</v>
      </c>
      <c r="E150" s="28">
        <v>-32.18191693</v>
      </c>
      <c r="F150" s="28">
        <v>115.7388746</v>
      </c>
      <c r="G150" s="7" t="s">
        <v>95</v>
      </c>
      <c r="H150" s="7" t="s">
        <v>379</v>
      </c>
      <c r="J150" s="7" t="s">
        <v>440</v>
      </c>
    </row>
    <row r="151" spans="1:11" x14ac:dyDescent="0.25">
      <c r="A151" s="7" t="s">
        <v>441</v>
      </c>
      <c r="B151" s="7" t="s">
        <v>442</v>
      </c>
      <c r="C151" s="18">
        <v>45279</v>
      </c>
      <c r="D151" s="22">
        <v>0.56944444444444442</v>
      </c>
      <c r="E151" s="28">
        <v>-32.181802500000003</v>
      </c>
      <c r="F151" s="28">
        <v>115.7370269</v>
      </c>
      <c r="G151" s="7" t="s">
        <v>95</v>
      </c>
      <c r="H151" s="7" t="s">
        <v>379</v>
      </c>
      <c r="J151" s="7" t="s">
        <v>440</v>
      </c>
    </row>
    <row r="152" spans="1:11" x14ac:dyDescent="0.25">
      <c r="A152" s="7" t="s">
        <v>443</v>
      </c>
      <c r="B152" s="7" t="s">
        <v>444</v>
      </c>
      <c r="C152" s="18">
        <v>45279</v>
      </c>
      <c r="D152" s="22">
        <v>0.58333333333333337</v>
      </c>
      <c r="E152" s="28">
        <v>-32.182107639999998</v>
      </c>
      <c r="F152" s="28">
        <v>115.75199809999999</v>
      </c>
      <c r="G152" s="7" t="s">
        <v>95</v>
      </c>
      <c r="H152" s="7" t="s">
        <v>379</v>
      </c>
      <c r="J152" s="7" t="s">
        <v>440</v>
      </c>
    </row>
    <row r="153" spans="1:11" x14ac:dyDescent="0.25">
      <c r="A153" s="7" t="s">
        <v>443</v>
      </c>
      <c r="B153" s="7" t="s">
        <v>444</v>
      </c>
      <c r="C153" s="18">
        <v>45386</v>
      </c>
      <c r="D153" s="19">
        <v>0.375</v>
      </c>
      <c r="E153" s="28">
        <v>-32.182107639999998</v>
      </c>
      <c r="F153" s="28">
        <v>115.75199809999999</v>
      </c>
      <c r="G153" s="7" t="s">
        <v>95</v>
      </c>
      <c r="H153" s="7" t="s">
        <v>379</v>
      </c>
      <c r="K153" s="7">
        <v>1</v>
      </c>
    </row>
    <row r="154" spans="1:11" x14ac:dyDescent="0.25">
      <c r="A154" s="7" t="s">
        <v>438</v>
      </c>
      <c r="B154" s="7" t="s">
        <v>439</v>
      </c>
      <c r="C154" s="18">
        <v>45386</v>
      </c>
      <c r="D154" s="19">
        <v>0.41666666666666669</v>
      </c>
      <c r="E154" s="28">
        <v>-32.18191693</v>
      </c>
      <c r="F154" s="28">
        <v>115.7388746</v>
      </c>
      <c r="G154" s="7" t="s">
        <v>95</v>
      </c>
      <c r="H154" s="7" t="s">
        <v>379</v>
      </c>
      <c r="K154" s="7">
        <v>2</v>
      </c>
    </row>
    <row r="155" spans="1:11" x14ac:dyDescent="0.25">
      <c r="A155" s="7" t="s">
        <v>441</v>
      </c>
      <c r="B155" s="7" t="s">
        <v>442</v>
      </c>
      <c r="C155" s="18">
        <v>45386</v>
      </c>
      <c r="D155" s="19">
        <v>0.43055555555555558</v>
      </c>
      <c r="E155" s="28">
        <v>-32.181802500000003</v>
      </c>
      <c r="F155" s="28">
        <v>115.7370269</v>
      </c>
      <c r="G155" s="7" t="s">
        <v>95</v>
      </c>
      <c r="H155" s="7" t="s">
        <v>379</v>
      </c>
      <c r="J155" s="7" t="s">
        <v>445</v>
      </c>
      <c r="K155" s="7" t="s">
        <v>446</v>
      </c>
    </row>
    <row r="156" spans="1:11" x14ac:dyDescent="0.25">
      <c r="A156" s="7" t="s">
        <v>447</v>
      </c>
      <c r="B156" s="7" t="s">
        <v>448</v>
      </c>
      <c r="C156" s="18">
        <v>45386</v>
      </c>
      <c r="D156" s="19">
        <v>0.4597222222222222</v>
      </c>
      <c r="E156" s="28">
        <v>-32.195189669999998</v>
      </c>
      <c r="F156" s="28">
        <v>115.7419842</v>
      </c>
      <c r="G156" s="7" t="s">
        <v>95</v>
      </c>
      <c r="H156" s="7" t="s">
        <v>379</v>
      </c>
      <c r="K156" s="7">
        <v>3</v>
      </c>
    </row>
    <row r="157" spans="1:11" x14ac:dyDescent="0.25">
      <c r="A157" s="7" t="s">
        <v>449</v>
      </c>
      <c r="B157" s="7" t="s">
        <v>450</v>
      </c>
      <c r="C157" s="18">
        <v>45386</v>
      </c>
      <c r="D157" s="19">
        <v>0.48958333333333331</v>
      </c>
      <c r="E157" s="28">
        <v>-32.195296460000002</v>
      </c>
      <c r="F157" s="28">
        <v>115.7397399</v>
      </c>
      <c r="G157" s="7" t="s">
        <v>95</v>
      </c>
      <c r="H157" s="7" t="s">
        <v>379</v>
      </c>
      <c r="J157" s="7" t="s">
        <v>451</v>
      </c>
      <c r="K157" s="7">
        <v>4</v>
      </c>
    </row>
    <row r="158" spans="1:11" x14ac:dyDescent="0.25">
      <c r="A158" s="20" t="s">
        <v>428</v>
      </c>
      <c r="B158" s="7" t="s">
        <v>429</v>
      </c>
      <c r="C158" s="18">
        <v>45386</v>
      </c>
      <c r="D158" s="19">
        <v>0.51041666666666663</v>
      </c>
      <c r="E158" s="28">
        <v>-32.19773</v>
      </c>
      <c r="F158" s="28">
        <v>115.74721</v>
      </c>
      <c r="G158" s="7" t="s">
        <v>95</v>
      </c>
      <c r="H158" s="7" t="s">
        <v>379</v>
      </c>
      <c r="I158" s="7" t="s">
        <v>223</v>
      </c>
      <c r="K158" s="7">
        <v>5</v>
      </c>
    </row>
    <row r="159" spans="1:11" x14ac:dyDescent="0.25">
      <c r="A159" s="7" t="s">
        <v>452</v>
      </c>
      <c r="B159" s="7" t="s">
        <v>453</v>
      </c>
      <c r="C159" s="18">
        <v>45386</v>
      </c>
      <c r="D159" s="19">
        <v>0.54166666666666663</v>
      </c>
      <c r="E159" s="28">
        <v>-32.238770150000001</v>
      </c>
      <c r="F159" s="28">
        <v>115.7517637</v>
      </c>
      <c r="G159" s="7" t="s">
        <v>95</v>
      </c>
      <c r="H159" s="7" t="s">
        <v>379</v>
      </c>
      <c r="J159" s="7" t="s">
        <v>454</v>
      </c>
      <c r="K159" s="7" t="s">
        <v>446</v>
      </c>
    </row>
    <row r="160" spans="1:11" x14ac:dyDescent="0.25">
      <c r="A160" s="20" t="s">
        <v>420</v>
      </c>
      <c r="B160" s="7" t="s">
        <v>421</v>
      </c>
      <c r="C160" s="18">
        <v>45386</v>
      </c>
      <c r="D160" s="19">
        <v>0.55208333333333337</v>
      </c>
      <c r="E160" s="28">
        <v>-32.239350000000002</v>
      </c>
      <c r="F160" s="28">
        <v>115.75708</v>
      </c>
      <c r="G160" s="7" t="s">
        <v>95</v>
      </c>
      <c r="H160" s="7" t="s">
        <v>379</v>
      </c>
      <c r="I160" s="7" t="s">
        <v>223</v>
      </c>
      <c r="K160" s="7">
        <v>6</v>
      </c>
    </row>
    <row r="161" spans="1:11" x14ac:dyDescent="0.25">
      <c r="A161" s="20" t="s">
        <v>418</v>
      </c>
      <c r="B161" s="7" t="s">
        <v>419</v>
      </c>
      <c r="C161" s="18">
        <v>45386</v>
      </c>
      <c r="D161" s="19">
        <v>0.58125000000000004</v>
      </c>
      <c r="E161" s="28">
        <v>-32.241860000000003</v>
      </c>
      <c r="F161" s="28">
        <v>115.75677</v>
      </c>
      <c r="G161" s="7" t="s">
        <v>95</v>
      </c>
      <c r="H161" s="7" t="s">
        <v>379</v>
      </c>
      <c r="I161" s="7" t="s">
        <v>223</v>
      </c>
      <c r="K161" s="7">
        <v>7</v>
      </c>
    </row>
    <row r="162" spans="1:11" x14ac:dyDescent="0.25">
      <c r="A162" s="20" t="s">
        <v>433</v>
      </c>
      <c r="B162" s="7" t="s">
        <v>455</v>
      </c>
      <c r="C162" s="18">
        <v>45386</v>
      </c>
      <c r="D162" s="19">
        <v>0.60763888888888884</v>
      </c>
      <c r="E162" s="28">
        <v>-32.145902960000001</v>
      </c>
      <c r="F162" s="28">
        <v>115.75585580000001</v>
      </c>
      <c r="G162" s="7" t="s">
        <v>95</v>
      </c>
      <c r="H162" s="7" t="s">
        <v>172</v>
      </c>
      <c r="J162" s="7" t="s">
        <v>456</v>
      </c>
      <c r="K162" s="7">
        <v>8</v>
      </c>
    </row>
    <row r="163" spans="1:11" x14ac:dyDescent="0.25">
      <c r="A163" s="20" t="s">
        <v>433</v>
      </c>
      <c r="B163" s="7" t="s">
        <v>434</v>
      </c>
      <c r="C163" s="18">
        <v>45386</v>
      </c>
      <c r="D163" s="19">
        <v>0.61805555555555558</v>
      </c>
      <c r="E163" s="28">
        <v>-32.145902960000001</v>
      </c>
      <c r="F163" s="28">
        <v>115.75585580000001</v>
      </c>
      <c r="G163" s="7" t="s">
        <v>95</v>
      </c>
      <c r="H163" s="7" t="s">
        <v>379</v>
      </c>
      <c r="J163" s="7" t="s">
        <v>457</v>
      </c>
      <c r="K163" s="7">
        <v>9</v>
      </c>
    </row>
    <row r="168" spans="1:11" x14ac:dyDescent="0.25">
      <c r="E168" s="7"/>
      <c r="F168" s="7"/>
    </row>
    <row r="169" spans="1:11" x14ac:dyDescent="0.25">
      <c r="E169" s="7"/>
      <c r="F169" s="7"/>
    </row>
    <row r="170" spans="1:11" x14ac:dyDescent="0.25">
      <c r="E170" s="7"/>
      <c r="F170" s="7"/>
    </row>
    <row r="171" spans="1:11" x14ac:dyDescent="0.25">
      <c r="E171" s="7"/>
      <c r="F171" s="7"/>
    </row>
    <row r="172" spans="1:11" x14ac:dyDescent="0.25">
      <c r="E172" s="7"/>
      <c r="F172" s="7"/>
    </row>
    <row r="173" spans="1:11" x14ac:dyDescent="0.25">
      <c r="E173" s="7"/>
      <c r="F173" s="7"/>
    </row>
    <row r="174" spans="1:11" x14ac:dyDescent="0.25">
      <c r="E174" s="7"/>
      <c r="F174" s="7"/>
    </row>
    <row r="175" spans="1:11" x14ac:dyDescent="0.25">
      <c r="E175" s="7"/>
      <c r="F175" s="7"/>
    </row>
  </sheetData>
  <phoneticPr fontId="1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65E72-397C-40E1-AFE6-E8C33BF5BB33}">
  <dimension ref="A1:J164"/>
  <sheetViews>
    <sheetView workbookViewId="0">
      <selection activeCell="F2" sqref="F2"/>
    </sheetView>
  </sheetViews>
  <sheetFormatPr defaultColWidth="8.7109375" defaultRowHeight="15" x14ac:dyDescent="0.25"/>
  <cols>
    <col min="1" max="1" width="9.7109375" bestFit="1" customWidth="1"/>
    <col min="2" max="2" width="8.7109375" bestFit="1" customWidth="1"/>
    <col min="3" max="3" width="10.28515625" bestFit="1" customWidth="1"/>
    <col min="4" max="4" width="5.42578125" bestFit="1" customWidth="1"/>
    <col min="5" max="5" width="16.7109375" bestFit="1" customWidth="1"/>
    <col min="6" max="6" width="10.7109375" bestFit="1" customWidth="1"/>
  </cols>
  <sheetData>
    <row r="1" spans="1:9" x14ac:dyDescent="0.25">
      <c r="A1" t="s">
        <v>117</v>
      </c>
      <c r="B1" t="s">
        <v>118</v>
      </c>
      <c r="C1" t="s">
        <v>119</v>
      </c>
      <c r="D1" t="s">
        <v>120</v>
      </c>
      <c r="E1" t="s">
        <v>124</v>
      </c>
      <c r="F1" t="s">
        <v>458</v>
      </c>
      <c r="G1" t="s">
        <v>459</v>
      </c>
      <c r="H1" t="s">
        <v>460</v>
      </c>
      <c r="I1" t="s">
        <v>461</v>
      </c>
    </row>
    <row r="2" spans="1:9" x14ac:dyDescent="0.25">
      <c r="F2" t="s">
        <v>462</v>
      </c>
      <c r="H2" t="s">
        <v>463</v>
      </c>
      <c r="I2" t="s">
        <v>464</v>
      </c>
    </row>
    <row r="3" spans="1:9" x14ac:dyDescent="0.25">
      <c r="A3" t="s">
        <v>127</v>
      </c>
      <c r="B3" t="s">
        <v>128</v>
      </c>
      <c r="C3" s="1">
        <v>44889</v>
      </c>
      <c r="D3" s="2">
        <v>0.39305555555555555</v>
      </c>
      <c r="E3" t="s">
        <v>129</v>
      </c>
      <c r="F3" s="2"/>
      <c r="G3">
        <v>7.94</v>
      </c>
      <c r="H3">
        <v>53.4</v>
      </c>
      <c r="I3">
        <v>20.100000000000001</v>
      </c>
    </row>
    <row r="4" spans="1:9" x14ac:dyDescent="0.25">
      <c r="A4" t="s">
        <v>130</v>
      </c>
      <c r="B4" t="s">
        <v>131</v>
      </c>
      <c r="C4" s="1">
        <v>44889</v>
      </c>
      <c r="D4" s="2">
        <v>0.40833333333333338</v>
      </c>
      <c r="E4" t="s">
        <v>129</v>
      </c>
      <c r="F4" s="2"/>
      <c r="G4">
        <v>7.9829999999999997</v>
      </c>
      <c r="H4">
        <v>53.9</v>
      </c>
      <c r="I4">
        <v>19.8</v>
      </c>
    </row>
    <row r="5" spans="1:9" x14ac:dyDescent="0.25">
      <c r="A5" t="s">
        <v>132</v>
      </c>
      <c r="B5" t="s">
        <v>133</v>
      </c>
      <c r="C5" s="1">
        <v>44889</v>
      </c>
      <c r="D5" s="2">
        <v>0.41666666666666669</v>
      </c>
      <c r="E5" t="s">
        <v>129</v>
      </c>
      <c r="F5" s="2"/>
      <c r="G5">
        <v>7.851</v>
      </c>
      <c r="H5">
        <v>33.6</v>
      </c>
      <c r="I5">
        <v>19.100000000000001</v>
      </c>
    </row>
    <row r="6" spans="1:9" x14ac:dyDescent="0.25">
      <c r="A6" t="s">
        <v>134</v>
      </c>
      <c r="B6" t="s">
        <v>135</v>
      </c>
      <c r="C6" s="1">
        <v>44889</v>
      </c>
      <c r="D6" s="2">
        <v>0.42499999999999999</v>
      </c>
      <c r="E6" t="s">
        <v>129</v>
      </c>
      <c r="F6" s="2"/>
      <c r="G6">
        <v>7.7320000000000002</v>
      </c>
      <c r="H6">
        <v>45</v>
      </c>
      <c r="I6">
        <v>19.600000000000001</v>
      </c>
    </row>
    <row r="7" spans="1:9" x14ac:dyDescent="0.25">
      <c r="A7" t="s">
        <v>136</v>
      </c>
      <c r="B7" t="s">
        <v>137</v>
      </c>
      <c r="C7" s="1">
        <v>44889</v>
      </c>
      <c r="D7" s="2">
        <v>0.43124999999999997</v>
      </c>
      <c r="E7" t="s">
        <v>129</v>
      </c>
      <c r="F7" s="2"/>
      <c r="G7">
        <v>7.8490000000000002</v>
      </c>
      <c r="H7">
        <v>37.799999999999997</v>
      </c>
      <c r="I7">
        <v>19.2</v>
      </c>
    </row>
    <row r="8" spans="1:9" x14ac:dyDescent="0.25">
      <c r="A8" t="s">
        <v>139</v>
      </c>
      <c r="B8" t="s">
        <v>140</v>
      </c>
      <c r="C8" s="1">
        <v>44889</v>
      </c>
      <c r="D8" s="2">
        <v>0.43888888888888888</v>
      </c>
      <c r="E8" t="s">
        <v>129</v>
      </c>
      <c r="F8" s="2"/>
      <c r="G8">
        <v>8.0009999999999994</v>
      </c>
      <c r="H8">
        <v>41.3</v>
      </c>
      <c r="I8">
        <v>18.7</v>
      </c>
    </row>
    <row r="9" spans="1:9" x14ac:dyDescent="0.25">
      <c r="A9" t="s">
        <v>141</v>
      </c>
      <c r="B9" t="s">
        <v>142</v>
      </c>
      <c r="C9" s="1">
        <v>44889</v>
      </c>
      <c r="D9" s="2">
        <v>0.45069444444444445</v>
      </c>
      <c r="E9" t="s">
        <v>129</v>
      </c>
      <c r="F9" s="2"/>
      <c r="G9">
        <v>7.7939999999999996</v>
      </c>
      <c r="H9">
        <v>49.9</v>
      </c>
      <c r="I9">
        <v>21.8</v>
      </c>
    </row>
    <row r="10" spans="1:9" x14ac:dyDescent="0.25">
      <c r="A10" t="s">
        <v>143</v>
      </c>
      <c r="B10" t="s">
        <v>144</v>
      </c>
      <c r="C10" s="1">
        <v>44889</v>
      </c>
      <c r="D10" s="2">
        <v>0.46319444444444446</v>
      </c>
      <c r="E10" t="s">
        <v>129</v>
      </c>
      <c r="F10" s="2"/>
      <c r="G10">
        <v>7.91</v>
      </c>
      <c r="H10">
        <v>46.8</v>
      </c>
      <c r="I10">
        <v>20.6</v>
      </c>
    </row>
    <row r="11" spans="1:9" x14ac:dyDescent="0.25">
      <c r="A11" t="s">
        <v>145</v>
      </c>
      <c r="B11" t="s">
        <v>146</v>
      </c>
      <c r="C11" s="1">
        <v>44889</v>
      </c>
      <c r="D11" s="2">
        <v>0.47083333333333338</v>
      </c>
      <c r="E11" t="s">
        <v>129</v>
      </c>
      <c r="F11" s="2"/>
      <c r="G11">
        <v>8.0579999999999998</v>
      </c>
      <c r="H11">
        <v>51.7</v>
      </c>
      <c r="I11">
        <v>21.4</v>
      </c>
    </row>
    <row r="12" spans="1:9" x14ac:dyDescent="0.25">
      <c r="A12" t="s">
        <v>147</v>
      </c>
      <c r="B12" t="s">
        <v>148</v>
      </c>
      <c r="C12" s="1">
        <v>44889</v>
      </c>
      <c r="D12" s="2">
        <v>0.4777777777777778</v>
      </c>
      <c r="E12" t="s">
        <v>129</v>
      </c>
      <c r="F12" s="2"/>
      <c r="G12">
        <v>8.0139999999999993</v>
      </c>
      <c r="H12">
        <v>53</v>
      </c>
      <c r="I12">
        <v>21.4</v>
      </c>
    </row>
    <row r="13" spans="1:9" x14ac:dyDescent="0.25">
      <c r="A13" t="s">
        <v>149</v>
      </c>
      <c r="B13" t="s">
        <v>150</v>
      </c>
      <c r="C13" s="1">
        <v>44889</v>
      </c>
      <c r="D13" s="2">
        <v>0.48472222222222222</v>
      </c>
      <c r="E13" t="s">
        <v>129</v>
      </c>
      <c r="F13" s="2"/>
      <c r="G13">
        <v>8.0459999999999994</v>
      </c>
      <c r="H13">
        <v>50.9</v>
      </c>
      <c r="I13">
        <v>21.5</v>
      </c>
    </row>
    <row r="14" spans="1:9" x14ac:dyDescent="0.25">
      <c r="A14" t="s">
        <v>151</v>
      </c>
      <c r="B14" t="s">
        <v>152</v>
      </c>
      <c r="C14" s="1">
        <v>44889</v>
      </c>
      <c r="D14" s="2">
        <v>0.4916666666666667</v>
      </c>
      <c r="E14" t="s">
        <v>129</v>
      </c>
      <c r="F14" s="2"/>
      <c r="G14">
        <v>7.7930000000000001</v>
      </c>
      <c r="H14">
        <v>51.3</v>
      </c>
      <c r="I14">
        <v>21.4</v>
      </c>
    </row>
    <row r="15" spans="1:9" x14ac:dyDescent="0.25">
      <c r="A15" t="s">
        <v>153</v>
      </c>
      <c r="B15" t="s">
        <v>154</v>
      </c>
      <c r="C15" s="1">
        <v>44889</v>
      </c>
      <c r="D15" s="2">
        <v>0.49861111111111112</v>
      </c>
      <c r="E15" t="s">
        <v>129</v>
      </c>
      <c r="F15" s="2"/>
      <c r="G15">
        <v>8.3800000000000008</v>
      </c>
      <c r="H15">
        <v>9.61</v>
      </c>
      <c r="I15">
        <v>22</v>
      </c>
    </row>
    <row r="16" spans="1:9" x14ac:dyDescent="0.25">
      <c r="A16" t="s">
        <v>155</v>
      </c>
      <c r="B16" t="s">
        <v>156</v>
      </c>
      <c r="C16" s="1">
        <v>44889</v>
      </c>
      <c r="D16" s="2">
        <v>0.50763888888888886</v>
      </c>
      <c r="E16" t="s">
        <v>129</v>
      </c>
      <c r="F16" s="2"/>
      <c r="G16">
        <v>8.3650000000000002</v>
      </c>
      <c r="H16">
        <v>5.48</v>
      </c>
      <c r="I16">
        <v>22.2</v>
      </c>
    </row>
    <row r="17" spans="1:9" x14ac:dyDescent="0.25">
      <c r="A17" t="s">
        <v>157</v>
      </c>
      <c r="B17" t="s">
        <v>158</v>
      </c>
      <c r="C17" s="1">
        <v>44889</v>
      </c>
      <c r="D17" s="2">
        <v>0.51874999999999993</v>
      </c>
      <c r="E17" t="s">
        <v>129</v>
      </c>
      <c r="F17" s="2"/>
      <c r="G17">
        <v>8.3650000000000002</v>
      </c>
      <c r="H17">
        <v>14.04</v>
      </c>
      <c r="I17">
        <v>21</v>
      </c>
    </row>
    <row r="18" spans="1:9" x14ac:dyDescent="0.25">
      <c r="A18" t="s">
        <v>159</v>
      </c>
      <c r="B18" t="s">
        <v>160</v>
      </c>
      <c r="C18" s="1">
        <v>44889</v>
      </c>
      <c r="D18" s="2">
        <v>0.55833333333333335</v>
      </c>
      <c r="E18" t="s">
        <v>129</v>
      </c>
      <c r="F18" s="2"/>
      <c r="G18">
        <v>7.84</v>
      </c>
      <c r="H18">
        <v>5.84</v>
      </c>
      <c r="I18">
        <v>22</v>
      </c>
    </row>
    <row r="19" spans="1:9" x14ac:dyDescent="0.25">
      <c r="A19" t="s">
        <v>161</v>
      </c>
      <c r="B19" t="s">
        <v>162</v>
      </c>
      <c r="C19" s="1">
        <v>44889</v>
      </c>
      <c r="D19" s="2">
        <v>0.57222222222222219</v>
      </c>
      <c r="E19" t="s">
        <v>129</v>
      </c>
      <c r="F19" s="2"/>
      <c r="G19">
        <v>7.7789999999999999</v>
      </c>
      <c r="H19">
        <v>14.98</v>
      </c>
      <c r="I19">
        <v>20.6</v>
      </c>
    </row>
    <row r="20" spans="1:9" x14ac:dyDescent="0.25">
      <c r="A20" t="s">
        <v>164</v>
      </c>
      <c r="B20" t="s">
        <v>165</v>
      </c>
      <c r="C20" s="1">
        <v>44889</v>
      </c>
      <c r="D20" s="2">
        <v>0.59583333333333333</v>
      </c>
      <c r="E20" t="s">
        <v>129</v>
      </c>
      <c r="F20" s="2"/>
      <c r="G20">
        <v>7.968</v>
      </c>
      <c r="H20">
        <v>52.3</v>
      </c>
      <c r="I20">
        <v>22.6</v>
      </c>
    </row>
    <row r="21" spans="1:9" x14ac:dyDescent="0.25">
      <c r="A21" s="3" t="s">
        <v>164</v>
      </c>
      <c r="B21" s="3" t="s">
        <v>166</v>
      </c>
      <c r="C21" s="1">
        <v>44889</v>
      </c>
      <c r="D21" s="2">
        <v>0.59652777777777777</v>
      </c>
      <c r="E21" t="s">
        <v>129</v>
      </c>
      <c r="F21" s="2"/>
      <c r="G21">
        <v>7.968</v>
      </c>
      <c r="H21">
        <v>52.3</v>
      </c>
      <c r="I21">
        <v>22.6</v>
      </c>
    </row>
    <row r="22" spans="1:9" x14ac:dyDescent="0.25">
      <c r="A22" t="s">
        <v>169</v>
      </c>
      <c r="B22" t="s">
        <v>170</v>
      </c>
      <c r="C22" s="1">
        <v>44889</v>
      </c>
      <c r="D22" s="2">
        <v>0.61458333333333337</v>
      </c>
      <c r="E22" t="s">
        <v>129</v>
      </c>
      <c r="F22" s="2"/>
      <c r="G22">
        <v>7.9950000000000001</v>
      </c>
      <c r="H22">
        <v>52.6</v>
      </c>
      <c r="I22">
        <v>22.7</v>
      </c>
    </row>
    <row r="23" spans="1:9" x14ac:dyDescent="0.25">
      <c r="A23" s="3" t="s">
        <v>169</v>
      </c>
      <c r="B23" s="3" t="s">
        <v>171</v>
      </c>
      <c r="C23" s="1">
        <v>44889</v>
      </c>
      <c r="D23" s="2">
        <v>0.62013888888888891</v>
      </c>
      <c r="E23" t="s">
        <v>172</v>
      </c>
      <c r="F23" s="2"/>
      <c r="G23">
        <v>8.3360000000000003</v>
      </c>
      <c r="H23">
        <v>53.9</v>
      </c>
      <c r="I23">
        <v>24.9</v>
      </c>
    </row>
    <row r="24" spans="1:9" x14ac:dyDescent="0.25">
      <c r="A24" t="s">
        <v>174</v>
      </c>
      <c r="B24" t="s">
        <v>175</v>
      </c>
      <c r="C24" s="1">
        <v>44894</v>
      </c>
      <c r="D24" s="2">
        <v>0.35625000000000001</v>
      </c>
      <c r="E24" t="s">
        <v>129</v>
      </c>
      <c r="F24" s="2"/>
      <c r="G24">
        <v>7.7880000000000003</v>
      </c>
      <c r="H24">
        <v>54.8</v>
      </c>
      <c r="I24">
        <v>21.3</v>
      </c>
    </row>
    <row r="25" spans="1:9" x14ac:dyDescent="0.25">
      <c r="A25" t="s">
        <v>176</v>
      </c>
      <c r="B25" t="s">
        <v>177</v>
      </c>
      <c r="C25" s="1">
        <v>44894</v>
      </c>
      <c r="D25" s="2">
        <v>0.3923611111111111</v>
      </c>
      <c r="E25" t="s">
        <v>129</v>
      </c>
      <c r="F25" s="2"/>
      <c r="G25">
        <v>7.8529999999999998</v>
      </c>
      <c r="H25">
        <v>53.7</v>
      </c>
      <c r="I25">
        <v>22</v>
      </c>
    </row>
    <row r="26" spans="1:9" x14ac:dyDescent="0.25">
      <c r="A26" t="s">
        <v>178</v>
      </c>
      <c r="B26" t="s">
        <v>179</v>
      </c>
      <c r="C26" s="1">
        <v>44894</v>
      </c>
      <c r="D26" s="2">
        <v>0.40625</v>
      </c>
      <c r="E26" t="s">
        <v>129</v>
      </c>
      <c r="F26" s="2"/>
      <c r="G26">
        <v>7.476</v>
      </c>
      <c r="H26">
        <v>54</v>
      </c>
      <c r="I26">
        <v>21.9</v>
      </c>
    </row>
    <row r="27" spans="1:9" x14ac:dyDescent="0.25">
      <c r="A27" t="s">
        <v>180</v>
      </c>
      <c r="B27" t="s">
        <v>181</v>
      </c>
      <c r="C27" s="1">
        <v>44894</v>
      </c>
      <c r="D27" s="2">
        <v>0.41319444444444442</v>
      </c>
      <c r="E27" t="s">
        <v>129</v>
      </c>
      <c r="F27" s="2"/>
      <c r="G27">
        <v>7.79</v>
      </c>
      <c r="H27">
        <v>54</v>
      </c>
      <c r="I27">
        <v>21.6</v>
      </c>
    </row>
    <row r="28" spans="1:9" x14ac:dyDescent="0.25">
      <c r="A28" t="s">
        <v>182</v>
      </c>
      <c r="B28" t="s">
        <v>183</v>
      </c>
      <c r="C28" s="1">
        <v>44894</v>
      </c>
      <c r="D28" s="2">
        <v>0.4291666666666667</v>
      </c>
      <c r="E28" t="s">
        <v>129</v>
      </c>
      <c r="F28" s="2"/>
      <c r="G28">
        <v>7.1929999999999996</v>
      </c>
      <c r="H28">
        <v>53.5</v>
      </c>
      <c r="I28">
        <v>21.8</v>
      </c>
    </row>
    <row r="29" spans="1:9" x14ac:dyDescent="0.25">
      <c r="A29" t="s">
        <v>184</v>
      </c>
      <c r="B29" t="s">
        <v>185</v>
      </c>
      <c r="C29" s="1">
        <v>44894</v>
      </c>
      <c r="D29" s="2">
        <v>0.4375</v>
      </c>
      <c r="E29" t="s">
        <v>129</v>
      </c>
      <c r="F29" s="2"/>
      <c r="G29">
        <v>7.7889999999999997</v>
      </c>
      <c r="H29">
        <v>52.7</v>
      </c>
      <c r="I29">
        <v>21.7</v>
      </c>
    </row>
    <row r="30" spans="1:9" x14ac:dyDescent="0.25">
      <c r="A30" t="s">
        <v>186</v>
      </c>
      <c r="B30" t="s">
        <v>187</v>
      </c>
      <c r="C30" s="1">
        <v>44894</v>
      </c>
      <c r="D30" s="2">
        <v>0.44930555555555557</v>
      </c>
      <c r="E30" t="s">
        <v>129</v>
      </c>
      <c r="F30" s="2"/>
      <c r="G30">
        <v>7.7850000000000001</v>
      </c>
      <c r="H30">
        <v>52.7</v>
      </c>
      <c r="I30">
        <v>22.3</v>
      </c>
    </row>
    <row r="31" spans="1:9" x14ac:dyDescent="0.25">
      <c r="A31" t="s">
        <v>188</v>
      </c>
      <c r="B31" t="s">
        <v>189</v>
      </c>
      <c r="C31" s="1">
        <v>44894</v>
      </c>
      <c r="D31" s="2">
        <v>0.46111111111111108</v>
      </c>
      <c r="E31" t="s">
        <v>129</v>
      </c>
      <c r="F31" s="2"/>
      <c r="G31">
        <v>7.4180000000000001</v>
      </c>
      <c r="H31">
        <v>18.440000000000001</v>
      </c>
      <c r="I31">
        <v>21.9</v>
      </c>
    </row>
    <row r="32" spans="1:9" x14ac:dyDescent="0.25">
      <c r="A32" t="s">
        <v>190</v>
      </c>
      <c r="B32" t="s">
        <v>191</v>
      </c>
      <c r="C32" s="1">
        <v>44894</v>
      </c>
      <c r="D32" s="2">
        <v>0.47013888888888888</v>
      </c>
      <c r="E32" t="s">
        <v>129</v>
      </c>
      <c r="F32" s="2"/>
      <c r="G32">
        <v>7.82</v>
      </c>
      <c r="H32">
        <v>54</v>
      </c>
      <c r="I32">
        <v>22</v>
      </c>
    </row>
    <row r="33" spans="1:9" x14ac:dyDescent="0.25">
      <c r="A33" t="s">
        <v>192</v>
      </c>
      <c r="B33" t="s">
        <v>193</v>
      </c>
      <c r="C33" s="1">
        <v>44894</v>
      </c>
      <c r="D33" s="2">
        <v>0.47847222222222219</v>
      </c>
      <c r="E33" t="s">
        <v>129</v>
      </c>
      <c r="F33" s="2"/>
      <c r="G33">
        <v>7.6929999999999996</v>
      </c>
      <c r="H33">
        <v>55.6</v>
      </c>
      <c r="I33">
        <v>21.9</v>
      </c>
    </row>
    <row r="34" spans="1:9" x14ac:dyDescent="0.25">
      <c r="A34" t="s">
        <v>194</v>
      </c>
      <c r="B34" t="s">
        <v>195</v>
      </c>
      <c r="C34" s="1">
        <v>44894</v>
      </c>
      <c r="D34" s="2">
        <v>0.49236111111111108</v>
      </c>
      <c r="E34" t="s">
        <v>129</v>
      </c>
      <c r="F34" s="2"/>
      <c r="G34">
        <v>7.5640000000000001</v>
      </c>
      <c r="H34">
        <v>35.9</v>
      </c>
      <c r="I34">
        <v>21.6</v>
      </c>
    </row>
    <row r="35" spans="1:9" x14ac:dyDescent="0.25">
      <c r="A35" t="s">
        <v>196</v>
      </c>
      <c r="B35" t="s">
        <v>197</v>
      </c>
      <c r="C35" s="1">
        <v>44894</v>
      </c>
      <c r="D35" s="2">
        <v>0.5</v>
      </c>
      <c r="E35" t="s">
        <v>129</v>
      </c>
      <c r="F35" s="2"/>
      <c r="G35">
        <v>7.68</v>
      </c>
      <c r="H35">
        <v>41.2</v>
      </c>
      <c r="I35">
        <v>21.8</v>
      </c>
    </row>
    <row r="36" spans="1:9" x14ac:dyDescent="0.25">
      <c r="A36" t="s">
        <v>198</v>
      </c>
      <c r="B36" t="s">
        <v>199</v>
      </c>
      <c r="C36" s="1">
        <v>44894</v>
      </c>
      <c r="D36" s="2">
        <v>0.52430555555555558</v>
      </c>
      <c r="E36" t="s">
        <v>129</v>
      </c>
      <c r="F36" s="2"/>
      <c r="G36">
        <v>7.74</v>
      </c>
      <c r="H36">
        <v>40.200000000000003</v>
      </c>
      <c r="I36">
        <v>22.5</v>
      </c>
    </row>
    <row r="37" spans="1:9" x14ac:dyDescent="0.25">
      <c r="A37" t="s">
        <v>200</v>
      </c>
      <c r="B37" t="s">
        <v>201</v>
      </c>
      <c r="C37" s="1">
        <v>44894</v>
      </c>
      <c r="D37" s="2">
        <v>0.53680555555555554</v>
      </c>
      <c r="E37" t="s">
        <v>129</v>
      </c>
      <c r="F37" s="2"/>
      <c r="G37">
        <v>7.8550000000000004</v>
      </c>
      <c r="H37">
        <v>32.700000000000003</v>
      </c>
      <c r="I37">
        <v>21.4</v>
      </c>
    </row>
    <row r="38" spans="1:9" x14ac:dyDescent="0.25">
      <c r="A38" t="s">
        <v>202</v>
      </c>
      <c r="B38" t="s">
        <v>203</v>
      </c>
      <c r="C38" s="1">
        <v>44894</v>
      </c>
      <c r="D38" s="2">
        <v>0.54652777777777783</v>
      </c>
      <c r="E38" t="s">
        <v>129</v>
      </c>
      <c r="F38" s="2"/>
      <c r="G38">
        <v>7.8129999999999997</v>
      </c>
      <c r="H38">
        <v>37</v>
      </c>
      <c r="I38">
        <v>21.4</v>
      </c>
    </row>
    <row r="39" spans="1:9" x14ac:dyDescent="0.25">
      <c r="A39" t="s">
        <v>204</v>
      </c>
      <c r="B39" t="s">
        <v>205</v>
      </c>
      <c r="C39" s="1">
        <v>44894</v>
      </c>
      <c r="D39" s="2">
        <v>0.55486111111111114</v>
      </c>
      <c r="E39" t="s">
        <v>129</v>
      </c>
      <c r="F39" s="2"/>
      <c r="G39">
        <v>7.8109999999999999</v>
      </c>
      <c r="H39">
        <v>31.3</v>
      </c>
      <c r="I39">
        <v>21.4</v>
      </c>
    </row>
    <row r="40" spans="1:9" x14ac:dyDescent="0.25">
      <c r="A40" t="s">
        <v>206</v>
      </c>
      <c r="B40" t="s">
        <v>207</v>
      </c>
      <c r="C40" s="1">
        <v>44894</v>
      </c>
      <c r="D40" s="2">
        <v>0.56527777777777777</v>
      </c>
      <c r="E40" t="s">
        <v>129</v>
      </c>
      <c r="F40" s="2"/>
      <c r="G40">
        <v>7.7380000000000004</v>
      </c>
      <c r="H40">
        <v>41</v>
      </c>
      <c r="I40">
        <v>21.3</v>
      </c>
    </row>
    <row r="41" spans="1:9" x14ac:dyDescent="0.25">
      <c r="A41" s="3" t="s">
        <v>206</v>
      </c>
      <c r="B41" s="3" t="s">
        <v>208</v>
      </c>
      <c r="C41" s="1">
        <v>44894</v>
      </c>
      <c r="D41" s="2">
        <v>0.56597222222222221</v>
      </c>
      <c r="E41" t="s">
        <v>129</v>
      </c>
      <c r="F41" s="2"/>
      <c r="G41">
        <v>7.7380000000000004</v>
      </c>
      <c r="H41">
        <v>41</v>
      </c>
      <c r="I41">
        <v>21.3</v>
      </c>
    </row>
    <row r="42" spans="1:9" x14ac:dyDescent="0.25">
      <c r="A42" t="s">
        <v>210</v>
      </c>
      <c r="B42" t="s">
        <v>211</v>
      </c>
      <c r="C42" s="1">
        <v>44894</v>
      </c>
      <c r="D42" s="2">
        <v>0.57430555555555551</v>
      </c>
      <c r="E42" t="s">
        <v>129</v>
      </c>
      <c r="F42" s="2"/>
      <c r="G42">
        <v>7.7619999999999996</v>
      </c>
      <c r="H42">
        <v>39.6</v>
      </c>
      <c r="I42">
        <v>21.8</v>
      </c>
    </row>
    <row r="43" spans="1:9" x14ac:dyDescent="0.25">
      <c r="A43" t="s">
        <v>212</v>
      </c>
      <c r="B43" t="s">
        <v>213</v>
      </c>
      <c r="C43" s="1">
        <v>44894</v>
      </c>
      <c r="D43" s="2">
        <v>0.58680555555555558</v>
      </c>
      <c r="E43" t="s">
        <v>129</v>
      </c>
      <c r="F43" s="2"/>
      <c r="G43">
        <v>7.4909999999999997</v>
      </c>
      <c r="H43">
        <v>44.3</v>
      </c>
      <c r="I43">
        <v>22.6</v>
      </c>
    </row>
    <row r="44" spans="1:9" x14ac:dyDescent="0.25">
      <c r="A44" t="s">
        <v>214</v>
      </c>
      <c r="B44" t="s">
        <v>215</v>
      </c>
      <c r="C44" s="1">
        <v>44894</v>
      </c>
      <c r="D44" s="2">
        <v>0.59375</v>
      </c>
      <c r="E44" t="s">
        <v>129</v>
      </c>
      <c r="F44" s="2"/>
      <c r="G44">
        <v>7.5069999999999997</v>
      </c>
      <c r="H44">
        <v>18.989999999999998</v>
      </c>
      <c r="I44">
        <v>22.1</v>
      </c>
    </row>
    <row r="45" spans="1:9" x14ac:dyDescent="0.25">
      <c r="A45" t="s">
        <v>216</v>
      </c>
      <c r="B45" t="s">
        <v>217</v>
      </c>
      <c r="C45" s="1">
        <v>44894</v>
      </c>
      <c r="D45" s="2">
        <v>0.60069444444444442</v>
      </c>
      <c r="E45" t="s">
        <v>129</v>
      </c>
      <c r="F45" s="2"/>
      <c r="G45">
        <v>7.3460000000000001</v>
      </c>
      <c r="H45">
        <v>32.1</v>
      </c>
      <c r="I45">
        <v>22.8</v>
      </c>
    </row>
    <row r="46" spans="1:9" x14ac:dyDescent="0.25">
      <c r="A46" t="s">
        <v>218</v>
      </c>
      <c r="B46" t="s">
        <v>219</v>
      </c>
      <c r="C46" s="1">
        <v>44894</v>
      </c>
      <c r="D46" s="2">
        <v>0.6069444444444444</v>
      </c>
      <c r="E46" t="s">
        <v>129</v>
      </c>
      <c r="F46" s="2"/>
      <c r="G46">
        <v>7.1989999999999998</v>
      </c>
      <c r="H46">
        <v>28.9</v>
      </c>
      <c r="I46">
        <v>22.3</v>
      </c>
    </row>
    <row r="47" spans="1:9" x14ac:dyDescent="0.25">
      <c r="A47" t="s">
        <v>220</v>
      </c>
      <c r="B47" t="s">
        <v>221</v>
      </c>
      <c r="C47" s="1">
        <v>44894</v>
      </c>
      <c r="D47" s="2">
        <v>0.61458333333333337</v>
      </c>
      <c r="E47" t="s">
        <v>129</v>
      </c>
      <c r="F47" s="2"/>
      <c r="G47">
        <v>7.6760000000000002</v>
      </c>
      <c r="H47">
        <v>7.56</v>
      </c>
      <c r="I47">
        <v>22.3</v>
      </c>
    </row>
    <row r="48" spans="1:9" x14ac:dyDescent="0.25">
      <c r="A48" s="3" t="s">
        <v>157</v>
      </c>
      <c r="B48" s="3" t="s">
        <v>222</v>
      </c>
      <c r="C48" s="1">
        <v>44894</v>
      </c>
      <c r="D48" s="2">
        <v>0.6479166666666667</v>
      </c>
      <c r="E48" t="s">
        <v>129</v>
      </c>
      <c r="F48" s="2"/>
      <c r="G48">
        <v>7.548</v>
      </c>
      <c r="H48">
        <v>5.23</v>
      </c>
      <c r="I48">
        <v>22.8</v>
      </c>
    </row>
    <row r="49" spans="1:9" x14ac:dyDescent="0.25">
      <c r="A49" s="3" t="s">
        <v>157</v>
      </c>
      <c r="B49" s="3" t="s">
        <v>225</v>
      </c>
      <c r="C49" s="1">
        <v>44894</v>
      </c>
      <c r="D49" s="2">
        <v>0.64930555555555558</v>
      </c>
      <c r="E49" t="s">
        <v>172</v>
      </c>
      <c r="F49" s="2"/>
      <c r="G49">
        <v>8.2249999999999996</v>
      </c>
      <c r="H49">
        <v>51.9</v>
      </c>
      <c r="I49">
        <v>23.5</v>
      </c>
    </row>
    <row r="50" spans="1:9" x14ac:dyDescent="0.25">
      <c r="A50" t="s">
        <v>226</v>
      </c>
      <c r="B50" t="s">
        <v>227</v>
      </c>
      <c r="C50" s="1">
        <v>44943</v>
      </c>
      <c r="D50" s="2">
        <v>0.40347222222222223</v>
      </c>
      <c r="E50" t="s">
        <v>129</v>
      </c>
      <c r="F50" s="2"/>
      <c r="G50">
        <v>7.7480000000000002</v>
      </c>
      <c r="H50">
        <v>47.7</v>
      </c>
      <c r="I50">
        <v>22.3</v>
      </c>
    </row>
    <row r="51" spans="1:9" x14ac:dyDescent="0.25">
      <c r="A51" t="s">
        <v>228</v>
      </c>
      <c r="B51" t="s">
        <v>229</v>
      </c>
      <c r="C51" s="1">
        <v>44943</v>
      </c>
      <c r="D51" s="2">
        <v>0.41250000000000003</v>
      </c>
      <c r="E51" t="s">
        <v>129</v>
      </c>
      <c r="F51" s="2"/>
      <c r="G51">
        <v>7.9340000000000002</v>
      </c>
      <c r="H51">
        <v>43.3</v>
      </c>
      <c r="I51">
        <v>19.899999999999999</v>
      </c>
    </row>
    <row r="52" spans="1:9" x14ac:dyDescent="0.25">
      <c r="A52" t="s">
        <v>230</v>
      </c>
      <c r="B52" t="s">
        <v>231</v>
      </c>
      <c r="C52" s="1">
        <v>44943</v>
      </c>
      <c r="D52" s="2">
        <v>0.41736111111111113</v>
      </c>
      <c r="E52" t="s">
        <v>129</v>
      </c>
      <c r="F52" s="2"/>
      <c r="G52">
        <v>7.8789999999999996</v>
      </c>
      <c r="H52">
        <v>51.9</v>
      </c>
      <c r="I52">
        <v>21.6</v>
      </c>
    </row>
    <row r="53" spans="1:9" x14ac:dyDescent="0.25">
      <c r="A53" t="s">
        <v>232</v>
      </c>
      <c r="B53" t="s">
        <v>233</v>
      </c>
      <c r="C53" s="1">
        <v>44943</v>
      </c>
      <c r="D53" s="2">
        <v>0.4236111111111111</v>
      </c>
      <c r="E53" t="s">
        <v>129</v>
      </c>
      <c r="F53" s="2"/>
      <c r="G53">
        <v>7.7850000000000001</v>
      </c>
      <c r="H53">
        <v>48.9</v>
      </c>
      <c r="I53">
        <v>22.4</v>
      </c>
    </row>
    <row r="54" spans="1:9" x14ac:dyDescent="0.25">
      <c r="A54" t="s">
        <v>234</v>
      </c>
      <c r="B54" t="s">
        <v>235</v>
      </c>
      <c r="C54" s="1">
        <v>44943</v>
      </c>
      <c r="D54" s="2">
        <v>0.43194444444444446</v>
      </c>
      <c r="E54" t="s">
        <v>129</v>
      </c>
      <c r="F54" s="2"/>
      <c r="G54">
        <v>7.7290000000000001</v>
      </c>
      <c r="H54">
        <v>50.8</v>
      </c>
      <c r="I54">
        <v>21.8</v>
      </c>
    </row>
    <row r="55" spans="1:9" x14ac:dyDescent="0.25">
      <c r="A55" t="s">
        <v>236</v>
      </c>
      <c r="B55" t="s">
        <v>237</v>
      </c>
      <c r="C55" s="1">
        <v>44943</v>
      </c>
      <c r="D55" s="2">
        <v>0.4381944444444445</v>
      </c>
      <c r="E55" t="s">
        <v>129</v>
      </c>
      <c r="F55" s="2"/>
      <c r="G55">
        <v>7.62</v>
      </c>
      <c r="H55">
        <v>46.1</v>
      </c>
      <c r="I55">
        <v>21.9</v>
      </c>
    </row>
    <row r="56" spans="1:9" x14ac:dyDescent="0.25">
      <c r="A56" t="s">
        <v>238</v>
      </c>
      <c r="B56" t="s">
        <v>239</v>
      </c>
      <c r="C56" s="1">
        <v>44943</v>
      </c>
      <c r="D56" s="2">
        <v>0.44375000000000003</v>
      </c>
      <c r="E56" t="s">
        <v>129</v>
      </c>
      <c r="F56" s="2"/>
      <c r="G56">
        <v>7.556</v>
      </c>
      <c r="H56">
        <v>50.3</v>
      </c>
      <c r="I56">
        <v>22.5</v>
      </c>
    </row>
    <row r="57" spans="1:9" x14ac:dyDescent="0.25">
      <c r="A57" t="s">
        <v>240</v>
      </c>
      <c r="B57" t="s">
        <v>241</v>
      </c>
      <c r="C57" s="1">
        <v>44943</v>
      </c>
      <c r="D57" s="2">
        <v>0.44861111111111113</v>
      </c>
      <c r="E57" t="s">
        <v>129</v>
      </c>
      <c r="F57" s="2"/>
      <c r="G57">
        <v>7.4480000000000004</v>
      </c>
      <c r="H57">
        <v>43.3</v>
      </c>
      <c r="I57">
        <v>23.1</v>
      </c>
    </row>
    <row r="58" spans="1:9" x14ac:dyDescent="0.25">
      <c r="A58" t="s">
        <v>242</v>
      </c>
      <c r="B58" t="s">
        <v>243</v>
      </c>
      <c r="C58" s="1">
        <v>44943</v>
      </c>
      <c r="D58" s="2">
        <v>0.45833333333333331</v>
      </c>
      <c r="E58" t="s">
        <v>129</v>
      </c>
      <c r="F58" s="2"/>
      <c r="G58">
        <v>7.6219999999999999</v>
      </c>
      <c r="H58">
        <v>41.6</v>
      </c>
      <c r="I58">
        <v>21</v>
      </c>
    </row>
    <row r="59" spans="1:9" x14ac:dyDescent="0.25">
      <c r="A59" s="3" t="s">
        <v>242</v>
      </c>
      <c r="B59" s="3" t="s">
        <v>244</v>
      </c>
      <c r="C59" s="1">
        <v>44943</v>
      </c>
      <c r="D59" s="2">
        <v>0.45902777777777781</v>
      </c>
      <c r="E59" t="s">
        <v>129</v>
      </c>
      <c r="F59" s="2"/>
      <c r="G59">
        <v>7.6219999999999999</v>
      </c>
      <c r="H59">
        <v>41.6</v>
      </c>
      <c r="I59">
        <v>21</v>
      </c>
    </row>
    <row r="60" spans="1:9" x14ac:dyDescent="0.25">
      <c r="A60" t="s">
        <v>247</v>
      </c>
      <c r="B60" t="s">
        <v>248</v>
      </c>
      <c r="C60" s="1">
        <v>44943</v>
      </c>
      <c r="D60" s="2">
        <v>0.46527777777777773</v>
      </c>
      <c r="E60" t="s">
        <v>129</v>
      </c>
      <c r="F60" s="2"/>
      <c r="G60">
        <v>7.8339999999999996</v>
      </c>
      <c r="H60">
        <v>49</v>
      </c>
      <c r="I60">
        <v>22.9</v>
      </c>
    </row>
    <row r="61" spans="1:9" x14ac:dyDescent="0.25">
      <c r="A61" t="s">
        <v>249</v>
      </c>
      <c r="B61" t="s">
        <v>250</v>
      </c>
      <c r="C61" s="1">
        <v>44943</v>
      </c>
      <c r="D61" s="2">
        <v>0.47152777777777777</v>
      </c>
      <c r="E61" t="s">
        <v>129</v>
      </c>
      <c r="F61" s="2"/>
      <c r="G61">
        <v>7.6310000000000002</v>
      </c>
      <c r="H61">
        <v>45.5</v>
      </c>
      <c r="I61">
        <v>23</v>
      </c>
    </row>
    <row r="62" spans="1:9" x14ac:dyDescent="0.25">
      <c r="A62" t="s">
        <v>251</v>
      </c>
      <c r="B62" t="s">
        <v>252</v>
      </c>
      <c r="C62" s="1">
        <v>44943</v>
      </c>
      <c r="D62" s="2">
        <v>0.47986111111111113</v>
      </c>
      <c r="E62" t="s">
        <v>129</v>
      </c>
      <c r="F62" s="2"/>
      <c r="G62">
        <v>7.5069999999999997</v>
      </c>
      <c r="H62">
        <v>26.3</v>
      </c>
      <c r="I62">
        <v>23.5</v>
      </c>
    </row>
    <row r="63" spans="1:9" x14ac:dyDescent="0.25">
      <c r="A63" t="s">
        <v>253</v>
      </c>
      <c r="B63" t="s">
        <v>254</v>
      </c>
      <c r="C63" s="1">
        <v>44943</v>
      </c>
      <c r="D63" s="2">
        <v>0.4861111111111111</v>
      </c>
      <c r="E63" t="s">
        <v>129</v>
      </c>
      <c r="F63" s="2"/>
      <c r="G63">
        <v>7.556</v>
      </c>
      <c r="H63">
        <v>26.2</v>
      </c>
      <c r="I63">
        <v>23.6</v>
      </c>
    </row>
    <row r="64" spans="1:9" x14ac:dyDescent="0.25">
      <c r="A64" t="s">
        <v>255</v>
      </c>
      <c r="B64" t="s">
        <v>256</v>
      </c>
      <c r="C64" s="1">
        <v>44943</v>
      </c>
      <c r="D64" s="2">
        <v>0.4916666666666667</v>
      </c>
      <c r="E64" t="s">
        <v>129</v>
      </c>
      <c r="F64" s="2"/>
      <c r="G64">
        <v>7.5960000000000001</v>
      </c>
      <c r="H64">
        <v>28.4</v>
      </c>
      <c r="I64">
        <v>23.8</v>
      </c>
    </row>
    <row r="65" spans="1:9" x14ac:dyDescent="0.25">
      <c r="A65" t="s">
        <v>257</v>
      </c>
      <c r="B65" t="s">
        <v>258</v>
      </c>
      <c r="C65" s="1">
        <v>44943</v>
      </c>
      <c r="D65" s="2">
        <v>0.53194444444444444</v>
      </c>
      <c r="E65" t="s">
        <v>129</v>
      </c>
      <c r="F65" s="2"/>
      <c r="G65">
        <v>7.56</v>
      </c>
      <c r="H65">
        <v>25.3</v>
      </c>
      <c r="I65">
        <v>25</v>
      </c>
    </row>
    <row r="66" spans="1:9" x14ac:dyDescent="0.25">
      <c r="A66" t="s">
        <v>259</v>
      </c>
      <c r="B66" t="s">
        <v>260</v>
      </c>
      <c r="C66" s="1">
        <v>44943</v>
      </c>
      <c r="D66" s="2">
        <v>0.53888888888888886</v>
      </c>
      <c r="E66" t="s">
        <v>129</v>
      </c>
      <c r="F66" s="2"/>
      <c r="G66">
        <v>7.68</v>
      </c>
      <c r="H66">
        <v>34.6</v>
      </c>
      <c r="I66">
        <v>24</v>
      </c>
    </row>
    <row r="67" spans="1:9" x14ac:dyDescent="0.25">
      <c r="A67" t="s">
        <v>261</v>
      </c>
      <c r="B67" t="s">
        <v>262</v>
      </c>
      <c r="C67" s="1">
        <v>44943</v>
      </c>
      <c r="D67" s="2">
        <v>0.54375000000000007</v>
      </c>
      <c r="E67" t="s">
        <v>129</v>
      </c>
      <c r="F67" s="2"/>
      <c r="G67">
        <v>7.7009999999999996</v>
      </c>
      <c r="H67">
        <v>40.799999999999997</v>
      </c>
      <c r="I67">
        <v>23.7</v>
      </c>
    </row>
    <row r="68" spans="1:9" x14ac:dyDescent="0.25">
      <c r="A68" t="s">
        <v>263</v>
      </c>
      <c r="B68" t="s">
        <v>264</v>
      </c>
      <c r="C68" s="1">
        <v>44943</v>
      </c>
      <c r="D68" s="2">
        <v>0.55069444444444449</v>
      </c>
      <c r="E68" t="s">
        <v>129</v>
      </c>
      <c r="F68" s="2"/>
      <c r="G68">
        <v>8.0299999999999994</v>
      </c>
      <c r="H68">
        <v>24.4</v>
      </c>
      <c r="I68">
        <v>22.9</v>
      </c>
    </row>
    <row r="69" spans="1:9" x14ac:dyDescent="0.25">
      <c r="A69" s="3" t="s">
        <v>263</v>
      </c>
      <c r="B69" s="3" t="s">
        <v>265</v>
      </c>
      <c r="C69" s="1">
        <v>44943</v>
      </c>
      <c r="D69" s="2">
        <v>0.55625000000000002</v>
      </c>
      <c r="E69" t="s">
        <v>172</v>
      </c>
      <c r="F69" s="2"/>
      <c r="G69">
        <v>8.36</v>
      </c>
      <c r="H69">
        <v>56</v>
      </c>
      <c r="I69">
        <v>24.5</v>
      </c>
    </row>
    <row r="70" spans="1:9" x14ac:dyDescent="0.25">
      <c r="A70" s="3" t="s">
        <v>157</v>
      </c>
      <c r="B70" s="3" t="s">
        <v>267</v>
      </c>
      <c r="C70" s="1">
        <v>44943</v>
      </c>
      <c r="D70" s="2">
        <v>0.58819444444444446</v>
      </c>
      <c r="E70" t="s">
        <v>129</v>
      </c>
      <c r="F70" s="2"/>
      <c r="G70">
        <v>7.6120000000000001</v>
      </c>
      <c r="H70">
        <v>9.26</v>
      </c>
      <c r="I70">
        <v>24.4</v>
      </c>
    </row>
    <row r="71" spans="1:9" x14ac:dyDescent="0.25">
      <c r="A71" t="s">
        <v>269</v>
      </c>
      <c r="B71" t="s">
        <v>270</v>
      </c>
      <c r="C71" s="1">
        <v>44944</v>
      </c>
      <c r="D71" s="2">
        <v>0.3520833333333333</v>
      </c>
      <c r="E71" t="s">
        <v>129</v>
      </c>
      <c r="F71" s="2"/>
      <c r="G71">
        <v>7.6459999999999999</v>
      </c>
      <c r="H71">
        <v>38</v>
      </c>
      <c r="I71">
        <v>20.2</v>
      </c>
    </row>
    <row r="72" spans="1:9" x14ac:dyDescent="0.25">
      <c r="A72" t="s">
        <v>271</v>
      </c>
      <c r="B72" t="s">
        <v>272</v>
      </c>
      <c r="C72" s="1">
        <v>44944</v>
      </c>
      <c r="D72" s="2">
        <v>0.36458333333333331</v>
      </c>
      <c r="E72" t="s">
        <v>129</v>
      </c>
      <c r="F72" s="2"/>
      <c r="G72">
        <v>7.5410000000000004</v>
      </c>
      <c r="H72">
        <v>33.6</v>
      </c>
      <c r="I72">
        <v>20.5</v>
      </c>
    </row>
    <row r="73" spans="1:9" x14ac:dyDescent="0.25">
      <c r="A73" t="s">
        <v>273</v>
      </c>
      <c r="B73" t="s">
        <v>274</v>
      </c>
      <c r="C73" s="1">
        <v>44944</v>
      </c>
      <c r="D73" s="2">
        <v>0.375</v>
      </c>
      <c r="E73" t="s">
        <v>129</v>
      </c>
      <c r="F73" s="2"/>
      <c r="G73">
        <v>7.91</v>
      </c>
      <c r="H73">
        <v>54.2</v>
      </c>
      <c r="I73">
        <v>20.9</v>
      </c>
    </row>
    <row r="74" spans="1:9" x14ac:dyDescent="0.25">
      <c r="A74" t="s">
        <v>275</v>
      </c>
      <c r="B74" t="s">
        <v>276</v>
      </c>
      <c r="C74" s="1">
        <v>44944</v>
      </c>
      <c r="D74" s="2">
        <v>0.37916666666666665</v>
      </c>
      <c r="E74" t="s">
        <v>129</v>
      </c>
      <c r="F74" s="2"/>
      <c r="G74">
        <v>7.8150000000000004</v>
      </c>
      <c r="H74">
        <v>53.2</v>
      </c>
      <c r="I74">
        <v>20.6</v>
      </c>
    </row>
    <row r="75" spans="1:9" x14ac:dyDescent="0.25">
      <c r="A75" t="s">
        <v>277</v>
      </c>
      <c r="B75" t="s">
        <v>278</v>
      </c>
      <c r="C75" s="1">
        <v>44944</v>
      </c>
      <c r="D75" s="2">
        <v>0.38611111111111113</v>
      </c>
      <c r="E75" t="s">
        <v>129</v>
      </c>
      <c r="F75" s="2"/>
      <c r="G75">
        <v>7.71</v>
      </c>
      <c r="H75">
        <v>53.7</v>
      </c>
      <c r="I75">
        <v>20.8</v>
      </c>
    </row>
    <row r="76" spans="1:9" x14ac:dyDescent="0.25">
      <c r="A76" t="s">
        <v>279</v>
      </c>
      <c r="B76" t="s">
        <v>280</v>
      </c>
      <c r="C76" s="1">
        <v>44944</v>
      </c>
      <c r="D76" s="2">
        <v>0.3923611111111111</v>
      </c>
      <c r="E76" t="s">
        <v>129</v>
      </c>
      <c r="F76" s="2"/>
      <c r="G76">
        <v>7.6520000000000001</v>
      </c>
      <c r="H76">
        <v>44.5</v>
      </c>
      <c r="I76">
        <v>21.2</v>
      </c>
    </row>
    <row r="77" spans="1:9" x14ac:dyDescent="0.25">
      <c r="A77" t="s">
        <v>281</v>
      </c>
      <c r="B77" t="s">
        <v>282</v>
      </c>
      <c r="C77" s="1">
        <v>44944</v>
      </c>
      <c r="D77" s="2">
        <v>0.39930555555555558</v>
      </c>
      <c r="E77" t="s">
        <v>129</v>
      </c>
      <c r="F77" s="2"/>
      <c r="G77">
        <v>7.7889999999999997</v>
      </c>
      <c r="H77">
        <v>53.7</v>
      </c>
      <c r="I77">
        <v>22</v>
      </c>
    </row>
    <row r="78" spans="1:9" x14ac:dyDescent="0.25">
      <c r="A78" s="3" t="s">
        <v>281</v>
      </c>
      <c r="B78" s="3" t="s">
        <v>283</v>
      </c>
      <c r="C78" s="1">
        <v>44944</v>
      </c>
      <c r="D78" s="2">
        <v>0.39999999999999997</v>
      </c>
      <c r="E78" t="s">
        <v>129</v>
      </c>
      <c r="F78" s="2"/>
      <c r="G78">
        <v>7.7889999999999997</v>
      </c>
      <c r="H78">
        <v>53.7</v>
      </c>
      <c r="I78">
        <v>22</v>
      </c>
    </row>
    <row r="79" spans="1:9" x14ac:dyDescent="0.25">
      <c r="A79" t="s">
        <v>285</v>
      </c>
      <c r="B79" t="s">
        <v>286</v>
      </c>
      <c r="C79" s="1">
        <v>44944</v>
      </c>
      <c r="D79" s="2">
        <v>0.40625</v>
      </c>
      <c r="E79" t="s">
        <v>129</v>
      </c>
      <c r="F79" s="2"/>
      <c r="G79">
        <v>7.59</v>
      </c>
      <c r="H79">
        <v>15.91</v>
      </c>
      <c r="I79">
        <v>22.6</v>
      </c>
    </row>
    <row r="80" spans="1:9" x14ac:dyDescent="0.25">
      <c r="A80" t="s">
        <v>287</v>
      </c>
      <c r="B80" t="s">
        <v>288</v>
      </c>
      <c r="C80" s="1">
        <v>44944</v>
      </c>
      <c r="D80" s="2">
        <v>0.43194444444444446</v>
      </c>
      <c r="E80" t="s">
        <v>129</v>
      </c>
      <c r="F80" s="2"/>
      <c r="G80">
        <v>7.6130000000000004</v>
      </c>
      <c r="H80">
        <v>7.76</v>
      </c>
      <c r="I80">
        <v>23.1</v>
      </c>
    </row>
    <row r="81" spans="1:9" x14ac:dyDescent="0.25">
      <c r="A81" t="s">
        <v>289</v>
      </c>
      <c r="B81" t="s">
        <v>290</v>
      </c>
      <c r="C81" s="1">
        <v>44944</v>
      </c>
      <c r="D81" s="2">
        <v>0.44791666666666669</v>
      </c>
      <c r="E81" t="s">
        <v>129</v>
      </c>
      <c r="F81" s="2"/>
      <c r="G81">
        <v>7.7530000000000001</v>
      </c>
      <c r="H81">
        <v>52</v>
      </c>
      <c r="I81">
        <v>23.2</v>
      </c>
    </row>
    <row r="82" spans="1:9" x14ac:dyDescent="0.25">
      <c r="A82" t="s">
        <v>291</v>
      </c>
      <c r="B82" t="s">
        <v>292</v>
      </c>
      <c r="C82" s="1">
        <v>44944</v>
      </c>
      <c r="D82" s="2">
        <v>0.52222222222222225</v>
      </c>
      <c r="E82" t="s">
        <v>129</v>
      </c>
      <c r="F82" s="2"/>
      <c r="G82">
        <v>7.9740000000000002</v>
      </c>
      <c r="H82">
        <v>50.8</v>
      </c>
      <c r="I82">
        <v>23.9</v>
      </c>
    </row>
    <row r="83" spans="1:9" x14ac:dyDescent="0.25">
      <c r="A83" t="s">
        <v>293</v>
      </c>
      <c r="B83" t="s">
        <v>294</v>
      </c>
      <c r="C83" s="1">
        <v>44944</v>
      </c>
      <c r="D83" s="2">
        <v>0.53194444444444444</v>
      </c>
      <c r="E83" t="s">
        <v>129</v>
      </c>
      <c r="F83" s="2"/>
      <c r="G83">
        <v>7.9560000000000004</v>
      </c>
      <c r="H83">
        <v>48.4</v>
      </c>
      <c r="I83">
        <v>26.1</v>
      </c>
    </row>
    <row r="84" spans="1:9" x14ac:dyDescent="0.25">
      <c r="A84" t="s">
        <v>295</v>
      </c>
      <c r="B84" t="s">
        <v>296</v>
      </c>
      <c r="C84" s="1">
        <v>44944</v>
      </c>
      <c r="D84" s="2">
        <v>0.54375000000000007</v>
      </c>
      <c r="E84" t="s">
        <v>129</v>
      </c>
      <c r="F84" s="2"/>
      <c r="G84">
        <v>7.891</v>
      </c>
      <c r="H84">
        <v>46.7</v>
      </c>
      <c r="I84">
        <v>24.5</v>
      </c>
    </row>
    <row r="85" spans="1:9" x14ac:dyDescent="0.25">
      <c r="A85" t="s">
        <v>297</v>
      </c>
      <c r="B85" t="s">
        <v>298</v>
      </c>
      <c r="C85" s="1">
        <v>44944</v>
      </c>
      <c r="D85" s="2">
        <v>0.55277777777777781</v>
      </c>
      <c r="E85" t="s">
        <v>129</v>
      </c>
      <c r="F85" s="2"/>
      <c r="G85">
        <v>7.7430000000000003</v>
      </c>
      <c r="H85">
        <v>25.4</v>
      </c>
      <c r="I85">
        <v>25.3</v>
      </c>
    </row>
    <row r="86" spans="1:9" x14ac:dyDescent="0.25">
      <c r="A86" s="3" t="s">
        <v>297</v>
      </c>
      <c r="B86" s="3" t="s">
        <v>299</v>
      </c>
      <c r="C86" s="1">
        <v>44944</v>
      </c>
      <c r="D86" s="2">
        <v>0.55625000000000002</v>
      </c>
      <c r="E86" t="s">
        <v>172</v>
      </c>
      <c r="F86" s="2"/>
      <c r="G86">
        <v>8.5060000000000002</v>
      </c>
      <c r="H86">
        <v>54.2</v>
      </c>
      <c r="I86">
        <v>25</v>
      </c>
    </row>
    <row r="87" spans="1:9" x14ac:dyDescent="0.25">
      <c r="A87" t="s">
        <v>300</v>
      </c>
      <c r="B87" t="s">
        <v>301</v>
      </c>
      <c r="C87" s="1">
        <v>44945</v>
      </c>
      <c r="D87" s="2">
        <v>0.3888888888888889</v>
      </c>
      <c r="E87" t="s">
        <v>129</v>
      </c>
      <c r="F87" s="2"/>
      <c r="G87">
        <v>7.6349999999999998</v>
      </c>
      <c r="H87">
        <v>15.22</v>
      </c>
      <c r="I87">
        <v>23.2</v>
      </c>
    </row>
    <row r="88" spans="1:9" x14ac:dyDescent="0.25">
      <c r="A88" t="s">
        <v>302</v>
      </c>
      <c r="B88" t="s">
        <v>303</v>
      </c>
      <c r="C88" s="1">
        <v>44945</v>
      </c>
      <c r="D88" s="2">
        <v>0.40208333333333335</v>
      </c>
      <c r="E88" t="s">
        <v>129</v>
      </c>
      <c r="F88" s="2"/>
      <c r="G88">
        <v>7.9509999999999996</v>
      </c>
      <c r="H88">
        <v>54.1</v>
      </c>
      <c r="I88">
        <v>23.8</v>
      </c>
    </row>
    <row r="89" spans="1:9" x14ac:dyDescent="0.25">
      <c r="A89" t="s">
        <v>304</v>
      </c>
      <c r="B89" t="s">
        <v>305</v>
      </c>
      <c r="C89" s="1">
        <v>44945</v>
      </c>
      <c r="D89" s="2">
        <v>0.40833333333333338</v>
      </c>
      <c r="E89" t="s">
        <v>129</v>
      </c>
      <c r="F89" s="2"/>
      <c r="G89">
        <v>7.91</v>
      </c>
      <c r="H89">
        <v>52.8</v>
      </c>
      <c r="I89">
        <v>23.7</v>
      </c>
    </row>
    <row r="90" spans="1:9" x14ac:dyDescent="0.25">
      <c r="A90" t="s">
        <v>306</v>
      </c>
      <c r="B90" t="s">
        <v>307</v>
      </c>
      <c r="C90" s="1">
        <v>44945</v>
      </c>
      <c r="D90" s="2">
        <v>0.41875000000000001</v>
      </c>
      <c r="E90" t="s">
        <v>129</v>
      </c>
      <c r="F90" s="2"/>
      <c r="G90">
        <v>7.9420000000000002</v>
      </c>
      <c r="H90">
        <v>54</v>
      </c>
      <c r="I90">
        <v>24</v>
      </c>
    </row>
    <row r="91" spans="1:9" x14ac:dyDescent="0.25">
      <c r="A91" s="3" t="s">
        <v>308</v>
      </c>
      <c r="B91" s="3" t="s">
        <v>309</v>
      </c>
      <c r="C91" s="1">
        <v>44945</v>
      </c>
      <c r="D91" s="2">
        <v>0.41944444444444445</v>
      </c>
      <c r="E91" t="s">
        <v>129</v>
      </c>
      <c r="F91" s="2"/>
      <c r="G91">
        <v>7.9420000000000002</v>
      </c>
      <c r="H91">
        <v>54</v>
      </c>
      <c r="I91">
        <v>24</v>
      </c>
    </row>
    <row r="92" spans="1:9" x14ac:dyDescent="0.25">
      <c r="A92" t="s">
        <v>308</v>
      </c>
      <c r="B92" t="s">
        <v>311</v>
      </c>
      <c r="C92" s="1">
        <v>44945</v>
      </c>
      <c r="D92" s="2">
        <v>0.42777777777777781</v>
      </c>
      <c r="E92" t="s">
        <v>129</v>
      </c>
      <c r="F92" s="2"/>
      <c r="G92">
        <v>8.35</v>
      </c>
      <c r="H92">
        <v>53.6</v>
      </c>
      <c r="I92">
        <v>24.2</v>
      </c>
    </row>
    <row r="93" spans="1:9" x14ac:dyDescent="0.25">
      <c r="A93" t="s">
        <v>312</v>
      </c>
      <c r="B93" t="s">
        <v>313</v>
      </c>
      <c r="C93" s="1">
        <v>44945</v>
      </c>
      <c r="D93" s="2">
        <v>0.43611111111111112</v>
      </c>
      <c r="E93" t="s">
        <v>129</v>
      </c>
      <c r="F93" s="2"/>
      <c r="G93">
        <v>7.875</v>
      </c>
      <c r="H93">
        <v>53.8</v>
      </c>
      <c r="I93">
        <v>24.7</v>
      </c>
    </row>
    <row r="94" spans="1:9" x14ac:dyDescent="0.25">
      <c r="A94" t="s">
        <v>314</v>
      </c>
      <c r="B94" t="s">
        <v>315</v>
      </c>
      <c r="C94" s="1">
        <v>44945</v>
      </c>
      <c r="D94" s="2">
        <v>0.44305555555555554</v>
      </c>
      <c r="E94" t="s">
        <v>129</v>
      </c>
      <c r="F94" s="2"/>
      <c r="G94">
        <v>7.8840000000000003</v>
      </c>
      <c r="H94">
        <v>52.3</v>
      </c>
      <c r="I94">
        <v>23.6</v>
      </c>
    </row>
    <row r="95" spans="1:9" x14ac:dyDescent="0.25">
      <c r="A95" s="3" t="s">
        <v>314</v>
      </c>
      <c r="B95" s="3" t="s">
        <v>317</v>
      </c>
      <c r="C95" s="1">
        <v>44945</v>
      </c>
      <c r="D95" s="2">
        <v>0.4458333333333333</v>
      </c>
      <c r="E95" t="s">
        <v>172</v>
      </c>
      <c r="F95" s="2"/>
      <c r="G95">
        <v>8.4809999999999999</v>
      </c>
      <c r="H95">
        <v>54.7</v>
      </c>
      <c r="I95">
        <v>24.6</v>
      </c>
    </row>
    <row r="96" spans="1:9" x14ac:dyDescent="0.25">
      <c r="A96" s="3" t="s">
        <v>157</v>
      </c>
      <c r="B96" s="3" t="s">
        <v>318</v>
      </c>
      <c r="C96" s="1">
        <v>44945</v>
      </c>
      <c r="D96" s="2">
        <v>0.48680555555555555</v>
      </c>
      <c r="E96" t="s">
        <v>129</v>
      </c>
      <c r="F96" s="2"/>
      <c r="G96">
        <v>7.7939999999999996</v>
      </c>
      <c r="H96">
        <v>4.08</v>
      </c>
      <c r="I96">
        <v>25.8</v>
      </c>
    </row>
    <row r="97" spans="1:9" x14ac:dyDescent="0.25">
      <c r="A97" s="3" t="s">
        <v>157</v>
      </c>
      <c r="B97" s="3" t="s">
        <v>319</v>
      </c>
      <c r="C97" s="1">
        <v>45456</v>
      </c>
      <c r="D97" s="2">
        <v>0.41666666666666669</v>
      </c>
      <c r="E97" t="s">
        <v>129</v>
      </c>
      <c r="F97" s="2"/>
      <c r="G97">
        <v>7.7380000000000004</v>
      </c>
      <c r="H97">
        <v>44.6</v>
      </c>
      <c r="I97">
        <v>19.2</v>
      </c>
    </row>
    <row r="98" spans="1:9" x14ac:dyDescent="0.25">
      <c r="A98" t="s">
        <v>321</v>
      </c>
      <c r="B98" t="s">
        <v>322</v>
      </c>
      <c r="C98" s="1">
        <v>45456</v>
      </c>
      <c r="D98" s="2">
        <v>0.44305555555555554</v>
      </c>
      <c r="E98" t="s">
        <v>129</v>
      </c>
      <c r="F98" s="2"/>
      <c r="G98">
        <v>7.1</v>
      </c>
      <c r="H98">
        <v>16.100000000000001</v>
      </c>
      <c r="I98">
        <v>19.5</v>
      </c>
    </row>
    <row r="99" spans="1:9" x14ac:dyDescent="0.25">
      <c r="A99" t="s">
        <v>324</v>
      </c>
      <c r="B99" t="s">
        <v>325</v>
      </c>
      <c r="C99" s="1">
        <v>45456</v>
      </c>
      <c r="D99" s="2">
        <v>0.45277777777777778</v>
      </c>
      <c r="E99" t="s">
        <v>129</v>
      </c>
      <c r="F99" s="2"/>
      <c r="G99">
        <v>7.4390000000000001</v>
      </c>
      <c r="H99">
        <v>29.9</v>
      </c>
      <c r="I99">
        <v>19.399999999999999</v>
      </c>
    </row>
    <row r="100" spans="1:9" x14ac:dyDescent="0.25">
      <c r="A100" t="s">
        <v>326</v>
      </c>
      <c r="B100" t="s">
        <v>327</v>
      </c>
      <c r="C100" s="1">
        <v>45456</v>
      </c>
      <c r="D100" s="2">
        <v>0.46180555555555558</v>
      </c>
      <c r="E100" t="s">
        <v>129</v>
      </c>
      <c r="F100" s="2"/>
      <c r="G100">
        <v>7.3360000000000003</v>
      </c>
      <c r="H100">
        <v>26.9</v>
      </c>
      <c r="I100">
        <v>19.399999999999999</v>
      </c>
    </row>
    <row r="101" spans="1:9" x14ac:dyDescent="0.25">
      <c r="A101" t="s">
        <v>328</v>
      </c>
      <c r="B101" t="s">
        <v>329</v>
      </c>
      <c r="C101" s="1">
        <v>45456</v>
      </c>
      <c r="D101" s="2">
        <v>0.47222222222222221</v>
      </c>
      <c r="E101" t="s">
        <v>129</v>
      </c>
      <c r="F101" s="2"/>
      <c r="G101">
        <v>7.6509999999999998</v>
      </c>
      <c r="H101">
        <v>26.9</v>
      </c>
      <c r="I101">
        <v>19.399999999999999</v>
      </c>
    </row>
    <row r="102" spans="1:9" x14ac:dyDescent="0.25">
      <c r="A102" t="s">
        <v>330</v>
      </c>
      <c r="B102" t="s">
        <v>331</v>
      </c>
      <c r="C102" s="1">
        <v>45456</v>
      </c>
      <c r="D102" s="2">
        <v>0.4826388888888889</v>
      </c>
      <c r="E102" t="s">
        <v>129</v>
      </c>
      <c r="F102" s="2"/>
      <c r="G102">
        <v>7.4160000000000004</v>
      </c>
      <c r="H102">
        <v>23.9</v>
      </c>
      <c r="I102">
        <v>19.100000000000001</v>
      </c>
    </row>
    <row r="103" spans="1:9" x14ac:dyDescent="0.25">
      <c r="A103" t="s">
        <v>332</v>
      </c>
      <c r="B103" t="s">
        <v>333</v>
      </c>
      <c r="C103" s="1">
        <v>45456</v>
      </c>
      <c r="D103" s="2">
        <v>0.49444444444444446</v>
      </c>
      <c r="E103" t="s">
        <v>129</v>
      </c>
      <c r="F103" s="2"/>
      <c r="G103">
        <v>7.806</v>
      </c>
      <c r="H103">
        <v>8.58</v>
      </c>
      <c r="I103">
        <v>19.3</v>
      </c>
    </row>
    <row r="104" spans="1:9" x14ac:dyDescent="0.25">
      <c r="A104" t="s">
        <v>334</v>
      </c>
      <c r="B104" t="s">
        <v>335</v>
      </c>
      <c r="C104" s="1">
        <v>45456</v>
      </c>
      <c r="D104" s="2">
        <v>0.50347222222222221</v>
      </c>
      <c r="E104" t="s">
        <v>129</v>
      </c>
      <c r="F104" s="2"/>
      <c r="G104">
        <v>7.8769999999999998</v>
      </c>
      <c r="H104">
        <v>7.34</v>
      </c>
      <c r="I104">
        <v>19.600000000000001</v>
      </c>
    </row>
    <row r="105" spans="1:9" x14ac:dyDescent="0.25">
      <c r="A105" t="s">
        <v>336</v>
      </c>
      <c r="B105" t="s">
        <v>337</v>
      </c>
      <c r="C105" s="1">
        <v>45456</v>
      </c>
      <c r="D105" s="2">
        <v>0.50694444444444442</v>
      </c>
      <c r="E105" t="s">
        <v>129</v>
      </c>
      <c r="F105" s="2"/>
      <c r="G105">
        <v>7.4870000000000001</v>
      </c>
      <c r="H105">
        <v>18.489999999999998</v>
      </c>
      <c r="I105">
        <v>19.600000000000001</v>
      </c>
    </row>
    <row r="106" spans="1:9" x14ac:dyDescent="0.25">
      <c r="A106" t="s">
        <v>338</v>
      </c>
      <c r="B106" t="s">
        <v>339</v>
      </c>
      <c r="C106" s="1">
        <v>45456</v>
      </c>
      <c r="D106" s="2">
        <v>0.51388888888888884</v>
      </c>
      <c r="E106" t="s">
        <v>129</v>
      </c>
      <c r="F106" s="2"/>
      <c r="G106">
        <v>7.7729999999999997</v>
      </c>
      <c r="H106">
        <v>27</v>
      </c>
      <c r="I106">
        <v>19.8</v>
      </c>
    </row>
    <row r="107" spans="1:9" x14ac:dyDescent="0.25">
      <c r="A107" t="s">
        <v>340</v>
      </c>
      <c r="B107" t="s">
        <v>341</v>
      </c>
      <c r="C107" s="1">
        <v>45456</v>
      </c>
      <c r="D107" s="2">
        <v>0.52083333333333337</v>
      </c>
      <c r="E107" t="s">
        <v>129</v>
      </c>
      <c r="F107" s="2"/>
      <c r="G107">
        <v>7.5179999999999998</v>
      </c>
      <c r="H107">
        <v>33.4</v>
      </c>
      <c r="I107">
        <v>19.8</v>
      </c>
    </row>
    <row r="108" spans="1:9" x14ac:dyDescent="0.25">
      <c r="A108" t="s">
        <v>342</v>
      </c>
      <c r="B108" t="s">
        <v>343</v>
      </c>
      <c r="C108" s="1">
        <v>45456</v>
      </c>
      <c r="D108" s="2">
        <v>0.52777777777777779</v>
      </c>
      <c r="E108" t="s">
        <v>129</v>
      </c>
      <c r="F108" s="2"/>
      <c r="G108">
        <v>7.3</v>
      </c>
      <c r="H108">
        <v>21.9</v>
      </c>
      <c r="I108">
        <v>19.8</v>
      </c>
    </row>
    <row r="109" spans="1:9" x14ac:dyDescent="0.25">
      <c r="A109" t="s">
        <v>344</v>
      </c>
      <c r="B109" t="s">
        <v>345</v>
      </c>
      <c r="C109" s="1">
        <v>45456</v>
      </c>
      <c r="D109" s="2">
        <v>0.53472222222222221</v>
      </c>
      <c r="E109" t="s">
        <v>129</v>
      </c>
      <c r="F109" s="2"/>
      <c r="G109">
        <v>7.3890000000000002</v>
      </c>
      <c r="H109">
        <v>41.3</v>
      </c>
      <c r="I109">
        <v>20.100000000000001</v>
      </c>
    </row>
    <row r="110" spans="1:9" x14ac:dyDescent="0.25">
      <c r="A110" t="s">
        <v>346</v>
      </c>
      <c r="B110" t="s">
        <v>347</v>
      </c>
      <c r="C110" s="1">
        <v>45456</v>
      </c>
      <c r="D110" s="2">
        <v>0.54166666666666663</v>
      </c>
      <c r="E110" t="s">
        <v>129</v>
      </c>
      <c r="F110" s="2"/>
      <c r="G110">
        <v>7.71</v>
      </c>
      <c r="H110">
        <v>31.7</v>
      </c>
      <c r="I110">
        <v>20</v>
      </c>
    </row>
    <row r="111" spans="1:9" x14ac:dyDescent="0.25">
      <c r="A111" t="s">
        <v>348</v>
      </c>
      <c r="B111" t="s">
        <v>349</v>
      </c>
      <c r="C111" s="1">
        <v>45456</v>
      </c>
      <c r="D111" s="2">
        <v>0.58402777777777781</v>
      </c>
      <c r="E111" t="s">
        <v>129</v>
      </c>
      <c r="F111" s="2"/>
      <c r="G111">
        <v>7.79</v>
      </c>
      <c r="H111">
        <v>5.31</v>
      </c>
      <c r="I111">
        <v>19.2</v>
      </c>
    </row>
    <row r="112" spans="1:9" x14ac:dyDescent="0.25">
      <c r="A112" t="s">
        <v>351</v>
      </c>
      <c r="B112" t="s">
        <v>352</v>
      </c>
      <c r="C112" s="1">
        <v>45456</v>
      </c>
      <c r="D112" s="2">
        <v>0.58402777777777781</v>
      </c>
      <c r="E112" t="s">
        <v>129</v>
      </c>
      <c r="F112" s="2"/>
      <c r="G112">
        <v>7.79</v>
      </c>
      <c r="H112">
        <v>5.31</v>
      </c>
      <c r="I112">
        <v>19.2</v>
      </c>
    </row>
    <row r="113" spans="1:9" x14ac:dyDescent="0.25">
      <c r="A113" t="s">
        <v>355</v>
      </c>
      <c r="B113" t="s">
        <v>356</v>
      </c>
      <c r="C113" s="1">
        <v>45456</v>
      </c>
      <c r="D113" s="2">
        <v>0.61458333333333337</v>
      </c>
      <c r="E113" t="s">
        <v>129</v>
      </c>
      <c r="F113" s="2"/>
      <c r="G113">
        <v>7.7240000000000002</v>
      </c>
      <c r="H113">
        <v>8.4</v>
      </c>
      <c r="I113">
        <v>20.399999999999999</v>
      </c>
    </row>
    <row r="114" spans="1:9" x14ac:dyDescent="0.25">
      <c r="A114" t="s">
        <v>358</v>
      </c>
      <c r="B114" t="s">
        <v>359</v>
      </c>
      <c r="C114" s="1">
        <v>45456</v>
      </c>
      <c r="D114" s="2">
        <v>0.62152777777777779</v>
      </c>
      <c r="E114" t="s">
        <v>129</v>
      </c>
      <c r="F114" s="2"/>
      <c r="G114">
        <v>7.8719999999999999</v>
      </c>
      <c r="H114">
        <v>53.2</v>
      </c>
      <c r="I114">
        <v>18.2</v>
      </c>
    </row>
    <row r="115" spans="1:9" x14ac:dyDescent="0.25">
      <c r="A115" t="s">
        <v>361</v>
      </c>
      <c r="B115" t="s">
        <v>362</v>
      </c>
      <c r="C115" s="1">
        <v>45456</v>
      </c>
      <c r="D115" s="2">
        <v>0.62847222222222221</v>
      </c>
      <c r="E115" t="s">
        <v>129</v>
      </c>
      <c r="F115" s="2"/>
      <c r="G115">
        <v>8.0679999999999996</v>
      </c>
      <c r="H115">
        <v>53.9</v>
      </c>
      <c r="I115">
        <v>17.399999999999999</v>
      </c>
    </row>
    <row r="116" spans="1:9" x14ac:dyDescent="0.25">
      <c r="A116" t="s">
        <v>364</v>
      </c>
      <c r="B116" t="s">
        <v>365</v>
      </c>
      <c r="C116" s="1">
        <v>45456</v>
      </c>
      <c r="D116" s="2">
        <v>0.63888888888888884</v>
      </c>
      <c r="E116" t="s">
        <v>129</v>
      </c>
      <c r="F116" s="2"/>
      <c r="G116">
        <v>7.6630000000000003</v>
      </c>
      <c r="H116">
        <v>19.68</v>
      </c>
      <c r="I116">
        <v>18.899999999999999</v>
      </c>
    </row>
    <row r="117" spans="1:9" x14ac:dyDescent="0.25">
      <c r="A117" t="s">
        <v>366</v>
      </c>
      <c r="B117" t="s">
        <v>367</v>
      </c>
      <c r="C117" s="1">
        <v>45456</v>
      </c>
      <c r="D117" s="2">
        <v>0.64583333333333337</v>
      </c>
      <c r="E117" t="s">
        <v>129</v>
      </c>
      <c r="F117" s="2"/>
      <c r="G117">
        <v>7.8390000000000004</v>
      </c>
      <c r="H117">
        <v>42.9</v>
      </c>
      <c r="I117">
        <v>20</v>
      </c>
    </row>
    <row r="118" spans="1:9" x14ac:dyDescent="0.25">
      <c r="A118" t="s">
        <v>369</v>
      </c>
      <c r="B118" t="s">
        <v>370</v>
      </c>
      <c r="C118" s="1">
        <v>45456</v>
      </c>
      <c r="D118" s="2">
        <v>0.65277777777777779</v>
      </c>
      <c r="E118" t="s">
        <v>129</v>
      </c>
      <c r="F118" s="2"/>
      <c r="G118">
        <v>7.9050000000000002</v>
      </c>
      <c r="H118">
        <v>53.2</v>
      </c>
      <c r="I118">
        <v>19.100000000000001</v>
      </c>
    </row>
    <row r="119" spans="1:9" x14ac:dyDescent="0.25">
      <c r="A119" t="s">
        <v>372</v>
      </c>
      <c r="B119" t="s">
        <v>373</v>
      </c>
      <c r="C119" s="1">
        <v>45456</v>
      </c>
      <c r="D119" s="2">
        <v>0.65972222222222221</v>
      </c>
      <c r="E119" t="s">
        <v>129</v>
      </c>
      <c r="F119" s="2"/>
      <c r="G119">
        <v>7.9660000000000002</v>
      </c>
      <c r="H119">
        <v>53.6</v>
      </c>
      <c r="I119">
        <v>18.8</v>
      </c>
    </row>
    <row r="120" spans="1:9" x14ac:dyDescent="0.25">
      <c r="A120" t="s">
        <v>374</v>
      </c>
      <c r="B120" t="s">
        <v>375</v>
      </c>
      <c r="C120" s="1">
        <v>45456</v>
      </c>
      <c r="D120" s="2">
        <v>0.66736111111111107</v>
      </c>
      <c r="E120" t="s">
        <v>129</v>
      </c>
      <c r="F120" s="2"/>
      <c r="G120">
        <v>7.56</v>
      </c>
      <c r="H120">
        <v>25.2</v>
      </c>
      <c r="I120">
        <v>19.600000000000001</v>
      </c>
    </row>
    <row r="121" spans="1:9" x14ac:dyDescent="0.25">
      <c r="A121" s="3" t="s">
        <v>374</v>
      </c>
      <c r="B121" s="3" t="s">
        <v>376</v>
      </c>
      <c r="C121" s="1">
        <v>45456</v>
      </c>
      <c r="D121" s="2">
        <v>0.67152777777777772</v>
      </c>
      <c r="E121" t="s">
        <v>172</v>
      </c>
      <c r="F121" s="2"/>
      <c r="G121">
        <v>8.1479999999999997</v>
      </c>
      <c r="H121">
        <v>53.1</v>
      </c>
      <c r="I121">
        <v>19.100000000000001</v>
      </c>
    </row>
    <row r="122" spans="1:9" x14ac:dyDescent="0.25">
      <c r="A122" t="s">
        <v>377</v>
      </c>
      <c r="B122" t="s">
        <v>378</v>
      </c>
      <c r="C122" s="1">
        <v>45278</v>
      </c>
      <c r="D122" s="2">
        <v>0.375</v>
      </c>
      <c r="E122" t="s">
        <v>379</v>
      </c>
      <c r="F122">
        <v>4.2</v>
      </c>
      <c r="G122">
        <v>7.9880000000000004</v>
      </c>
      <c r="H122">
        <v>53.3</v>
      </c>
      <c r="I122">
        <v>24.3</v>
      </c>
    </row>
    <row r="123" spans="1:9" x14ac:dyDescent="0.25">
      <c r="A123" t="s">
        <v>380</v>
      </c>
      <c r="B123" t="s">
        <v>381</v>
      </c>
      <c r="C123" s="1">
        <v>45278</v>
      </c>
      <c r="D123" s="2">
        <v>0.38472222222222219</v>
      </c>
      <c r="E123" t="s">
        <v>379</v>
      </c>
      <c r="F123">
        <v>3.3</v>
      </c>
      <c r="G123">
        <v>7.5019999999999998</v>
      </c>
      <c r="H123">
        <v>41.8</v>
      </c>
      <c r="I123">
        <v>23.5</v>
      </c>
    </row>
    <row r="124" spans="1:9" x14ac:dyDescent="0.25">
      <c r="A124" t="s">
        <v>382</v>
      </c>
      <c r="B124" t="s">
        <v>383</v>
      </c>
      <c r="C124" s="1">
        <v>45278</v>
      </c>
      <c r="D124" s="2">
        <v>0.41250000000000003</v>
      </c>
      <c r="E124" t="s">
        <v>379</v>
      </c>
      <c r="F124">
        <v>3.8</v>
      </c>
      <c r="G124">
        <v>7.8470000000000004</v>
      </c>
      <c r="H124">
        <v>54.3</v>
      </c>
      <c r="I124">
        <v>23.6</v>
      </c>
    </row>
    <row r="125" spans="1:9" x14ac:dyDescent="0.25">
      <c r="A125" t="s">
        <v>384</v>
      </c>
      <c r="B125" t="s">
        <v>385</v>
      </c>
      <c r="C125" s="1">
        <v>45278</v>
      </c>
      <c r="D125" s="2">
        <v>0.42638888888888887</v>
      </c>
      <c r="E125" t="s">
        <v>379</v>
      </c>
      <c r="F125">
        <v>3.1</v>
      </c>
      <c r="G125">
        <v>7.8680000000000003</v>
      </c>
      <c r="H125">
        <v>54.7</v>
      </c>
      <c r="I125">
        <v>24.3</v>
      </c>
    </row>
    <row r="126" spans="1:9" x14ac:dyDescent="0.25">
      <c r="A126" t="s">
        <v>386</v>
      </c>
      <c r="B126" t="s">
        <v>387</v>
      </c>
      <c r="C126" s="1">
        <v>45278</v>
      </c>
      <c r="D126" s="2">
        <v>0.44027777777777777</v>
      </c>
      <c r="E126" t="s">
        <v>379</v>
      </c>
      <c r="F126">
        <v>2.2999999999999998</v>
      </c>
      <c r="G126">
        <v>7.8029999999999999</v>
      </c>
      <c r="H126">
        <v>54.7</v>
      </c>
      <c r="I126">
        <v>25</v>
      </c>
    </row>
    <row r="127" spans="1:9" x14ac:dyDescent="0.25">
      <c r="A127" t="s">
        <v>388</v>
      </c>
      <c r="B127" t="s">
        <v>389</v>
      </c>
      <c r="C127" s="1">
        <v>45278</v>
      </c>
      <c r="D127" s="2">
        <v>0.45347222222222222</v>
      </c>
      <c r="E127" t="s">
        <v>379</v>
      </c>
      <c r="F127">
        <v>2.2000000000000002</v>
      </c>
      <c r="G127">
        <v>7.91</v>
      </c>
      <c r="H127">
        <v>54.8</v>
      </c>
      <c r="I127">
        <v>25.1</v>
      </c>
    </row>
    <row r="128" spans="1:9" x14ac:dyDescent="0.25">
      <c r="A128" t="s">
        <v>390</v>
      </c>
      <c r="B128" t="s">
        <v>391</v>
      </c>
      <c r="C128" s="1">
        <v>45278</v>
      </c>
      <c r="D128" s="2">
        <v>0.45833333333333331</v>
      </c>
      <c r="E128" t="s">
        <v>379</v>
      </c>
      <c r="F128">
        <v>0.55000000000000004</v>
      </c>
      <c r="G128">
        <v>7.7679999999999998</v>
      </c>
      <c r="H128">
        <v>4.2699999999999996</v>
      </c>
      <c r="I128">
        <v>23.5</v>
      </c>
    </row>
    <row r="129" spans="1:9" x14ac:dyDescent="0.25">
      <c r="A129" t="s">
        <v>392</v>
      </c>
      <c r="B129" t="s">
        <v>393</v>
      </c>
      <c r="C129" s="1">
        <v>45278</v>
      </c>
      <c r="D129" s="2">
        <v>0.4694444444444445</v>
      </c>
      <c r="E129" t="s">
        <v>379</v>
      </c>
      <c r="F129">
        <v>1</v>
      </c>
      <c r="G129">
        <v>7.6139999999999999</v>
      </c>
      <c r="H129">
        <v>48.3</v>
      </c>
      <c r="I129">
        <v>24</v>
      </c>
    </row>
    <row r="130" spans="1:9" x14ac:dyDescent="0.25">
      <c r="A130" t="s">
        <v>394</v>
      </c>
      <c r="B130" t="s">
        <v>395</v>
      </c>
      <c r="C130" s="1">
        <v>45278</v>
      </c>
      <c r="D130" s="2">
        <v>0.48402777777777778</v>
      </c>
      <c r="E130" t="s">
        <v>379</v>
      </c>
      <c r="F130">
        <v>3.5</v>
      </c>
      <c r="G130">
        <v>7.7859999999999996</v>
      </c>
      <c r="H130">
        <v>54.4</v>
      </c>
      <c r="I130">
        <v>25.2</v>
      </c>
    </row>
    <row r="131" spans="1:9" x14ac:dyDescent="0.25">
      <c r="A131" t="s">
        <v>396</v>
      </c>
      <c r="B131" t="s">
        <v>397</v>
      </c>
      <c r="C131" s="1">
        <v>45278</v>
      </c>
      <c r="D131" s="2">
        <v>0.4916666666666667</v>
      </c>
      <c r="E131" t="s">
        <v>379</v>
      </c>
      <c r="F131">
        <v>2.9</v>
      </c>
      <c r="G131">
        <v>7.9080000000000004</v>
      </c>
      <c r="H131">
        <v>54.4</v>
      </c>
      <c r="I131">
        <v>25.7</v>
      </c>
    </row>
    <row r="132" spans="1:9" x14ac:dyDescent="0.25">
      <c r="A132" t="s">
        <v>398</v>
      </c>
      <c r="B132" t="s">
        <v>399</v>
      </c>
      <c r="C132" s="1">
        <v>45278</v>
      </c>
      <c r="D132" s="2">
        <v>0.5</v>
      </c>
      <c r="E132" t="s">
        <v>379</v>
      </c>
      <c r="F132">
        <v>3.1</v>
      </c>
      <c r="G132">
        <v>7.8940000000000001</v>
      </c>
      <c r="H132">
        <v>53</v>
      </c>
      <c r="I132">
        <v>24.4</v>
      </c>
    </row>
    <row r="133" spans="1:9" x14ac:dyDescent="0.25">
      <c r="A133" t="s">
        <v>400</v>
      </c>
      <c r="B133" t="s">
        <v>401</v>
      </c>
      <c r="C133" s="1">
        <v>45278</v>
      </c>
      <c r="D133" s="2">
        <v>0.5083333333333333</v>
      </c>
      <c r="E133" t="s">
        <v>379</v>
      </c>
      <c r="F133">
        <v>2.9</v>
      </c>
      <c r="G133">
        <v>7.9029999999999996</v>
      </c>
      <c r="H133">
        <v>54.3</v>
      </c>
      <c r="I133">
        <v>27.3</v>
      </c>
    </row>
    <row r="134" spans="1:9" x14ac:dyDescent="0.25">
      <c r="A134" t="s">
        <v>402</v>
      </c>
      <c r="B134" t="s">
        <v>403</v>
      </c>
      <c r="C134" s="1">
        <v>45278</v>
      </c>
      <c r="D134" s="2">
        <v>0.52083333333333337</v>
      </c>
      <c r="E134" t="s">
        <v>379</v>
      </c>
      <c r="F134">
        <v>2.5</v>
      </c>
      <c r="G134">
        <v>7.7679999999999998</v>
      </c>
      <c r="H134">
        <v>52.2</v>
      </c>
      <c r="I134">
        <v>26</v>
      </c>
    </row>
    <row r="135" spans="1:9" x14ac:dyDescent="0.25">
      <c r="A135" t="s">
        <v>404</v>
      </c>
      <c r="B135" t="s">
        <v>405</v>
      </c>
      <c r="C135" s="1">
        <v>45278</v>
      </c>
      <c r="D135" s="2">
        <v>0.52986111111111112</v>
      </c>
      <c r="E135" t="s">
        <v>379</v>
      </c>
      <c r="F135">
        <v>2.4</v>
      </c>
      <c r="G135">
        <v>7.81</v>
      </c>
      <c r="H135">
        <v>52.8</v>
      </c>
      <c r="I135">
        <v>26.7</v>
      </c>
    </row>
    <row r="136" spans="1:9" x14ac:dyDescent="0.25">
      <c r="A136" t="s">
        <v>406</v>
      </c>
      <c r="B136" t="s">
        <v>407</v>
      </c>
      <c r="C136" s="1">
        <v>45278</v>
      </c>
      <c r="D136" s="2">
        <v>0.54166666666666663</v>
      </c>
      <c r="E136" t="s">
        <v>379</v>
      </c>
      <c r="F136">
        <v>2.1</v>
      </c>
      <c r="G136">
        <v>7.8079999999999998</v>
      </c>
      <c r="H136">
        <v>51.2</v>
      </c>
      <c r="I136">
        <v>26.6</v>
      </c>
    </row>
    <row r="137" spans="1:9" x14ac:dyDescent="0.25">
      <c r="A137" t="s">
        <v>408</v>
      </c>
      <c r="B137" t="s">
        <v>409</v>
      </c>
      <c r="C137" s="1">
        <v>45278</v>
      </c>
      <c r="D137" s="2">
        <v>0.54722222222222217</v>
      </c>
      <c r="E137" t="s">
        <v>379</v>
      </c>
      <c r="F137">
        <v>2.2999999999999998</v>
      </c>
      <c r="G137">
        <v>7.8390000000000004</v>
      </c>
      <c r="H137">
        <v>54.1</v>
      </c>
      <c r="I137">
        <v>27.5</v>
      </c>
    </row>
    <row r="138" spans="1:9" x14ac:dyDescent="0.25">
      <c r="A138" t="s">
        <v>410</v>
      </c>
      <c r="B138" t="s">
        <v>411</v>
      </c>
      <c r="C138" s="1">
        <v>45278</v>
      </c>
      <c r="D138" s="2">
        <v>0.55902777777777779</v>
      </c>
      <c r="E138" t="s">
        <v>379</v>
      </c>
      <c r="F138">
        <v>2.2999999999999998</v>
      </c>
      <c r="G138">
        <v>7.91</v>
      </c>
      <c r="H138">
        <v>54.2</v>
      </c>
      <c r="I138">
        <v>28.1</v>
      </c>
    </row>
    <row r="139" spans="1:9" x14ac:dyDescent="0.25">
      <c r="A139" t="s">
        <v>412</v>
      </c>
      <c r="B139" t="s">
        <v>413</v>
      </c>
      <c r="C139" s="1">
        <v>45278</v>
      </c>
      <c r="D139" s="2">
        <v>0.56944444444444442</v>
      </c>
      <c r="E139" t="s">
        <v>379</v>
      </c>
      <c r="F139">
        <v>2.9</v>
      </c>
      <c r="G139">
        <v>7.827</v>
      </c>
      <c r="H139">
        <v>54.4</v>
      </c>
      <c r="I139">
        <v>27</v>
      </c>
    </row>
    <row r="140" spans="1:9" x14ac:dyDescent="0.25">
      <c r="A140" t="s">
        <v>414</v>
      </c>
      <c r="B140" t="s">
        <v>415</v>
      </c>
      <c r="C140" s="1">
        <v>45278</v>
      </c>
      <c r="D140" s="2">
        <v>0.57986111111111105</v>
      </c>
      <c r="E140" t="s">
        <v>379</v>
      </c>
      <c r="F140">
        <v>3.3</v>
      </c>
      <c r="G140">
        <v>7.8639999999999999</v>
      </c>
      <c r="H140">
        <v>54.1</v>
      </c>
      <c r="I140">
        <v>27.3</v>
      </c>
    </row>
    <row r="141" spans="1:9" x14ac:dyDescent="0.25">
      <c r="A141" t="s">
        <v>416</v>
      </c>
      <c r="B141" t="s">
        <v>417</v>
      </c>
      <c r="C141" s="1">
        <v>45278</v>
      </c>
      <c r="D141" s="2">
        <v>0.59375</v>
      </c>
      <c r="E141" t="s">
        <v>379</v>
      </c>
      <c r="F141">
        <v>2.2999999999999998</v>
      </c>
      <c r="G141">
        <v>7.6550000000000002</v>
      </c>
      <c r="H141">
        <v>53.2</v>
      </c>
      <c r="I141">
        <v>26.2</v>
      </c>
    </row>
    <row r="142" spans="1:9" x14ac:dyDescent="0.25">
      <c r="A142" t="s">
        <v>418</v>
      </c>
      <c r="B142" t="s">
        <v>419</v>
      </c>
      <c r="C142" s="1">
        <v>45279</v>
      </c>
      <c r="D142" s="2">
        <v>0.375</v>
      </c>
      <c r="E142" t="s">
        <v>379</v>
      </c>
      <c r="F142">
        <v>4.5</v>
      </c>
      <c r="G142">
        <v>7.883</v>
      </c>
      <c r="H142">
        <v>54.6</v>
      </c>
      <c r="I142">
        <v>23.2</v>
      </c>
    </row>
    <row r="143" spans="1:9" x14ac:dyDescent="0.25">
      <c r="A143" t="s">
        <v>420</v>
      </c>
      <c r="B143" t="s">
        <v>421</v>
      </c>
      <c r="C143" s="1">
        <v>45279</v>
      </c>
      <c r="D143" s="2">
        <v>0.3840277777777778</v>
      </c>
      <c r="E143" t="s">
        <v>379</v>
      </c>
      <c r="F143">
        <v>4.5</v>
      </c>
      <c r="G143">
        <v>7.8849999999999998</v>
      </c>
      <c r="H143">
        <v>54.3</v>
      </c>
      <c r="I143">
        <v>23.3</v>
      </c>
    </row>
    <row r="144" spans="1:9" x14ac:dyDescent="0.25">
      <c r="A144" t="s">
        <v>422</v>
      </c>
      <c r="B144" t="s">
        <v>423</v>
      </c>
      <c r="C144" s="1">
        <v>45279</v>
      </c>
      <c r="D144" s="2">
        <v>0.39930555555555558</v>
      </c>
      <c r="E144" t="s">
        <v>379</v>
      </c>
      <c r="F144">
        <v>4</v>
      </c>
      <c r="G144">
        <v>8.0269999999999992</v>
      </c>
      <c r="H144">
        <v>54.5</v>
      </c>
      <c r="I144">
        <v>24.3</v>
      </c>
    </row>
    <row r="145" spans="1:10" x14ac:dyDescent="0.25">
      <c r="A145" t="s">
        <v>422</v>
      </c>
      <c r="B145" t="s">
        <v>424</v>
      </c>
      <c r="C145" s="1">
        <v>45279</v>
      </c>
      <c r="D145" s="2">
        <v>0.40277777777777773</v>
      </c>
      <c r="E145" t="s">
        <v>172</v>
      </c>
      <c r="F145">
        <v>0.5</v>
      </c>
      <c r="G145">
        <v>8.3390000000000004</v>
      </c>
      <c r="H145">
        <v>54.5</v>
      </c>
      <c r="I145">
        <v>24.5</v>
      </c>
    </row>
    <row r="146" spans="1:10" x14ac:dyDescent="0.25">
      <c r="A146" t="s">
        <v>425</v>
      </c>
      <c r="B146" t="s">
        <v>426</v>
      </c>
      <c r="C146" s="1">
        <v>45279</v>
      </c>
      <c r="D146" s="2">
        <v>0.41666666666666669</v>
      </c>
      <c r="E146" t="s">
        <v>379</v>
      </c>
      <c r="F146">
        <v>4.5999999999999996</v>
      </c>
      <c r="G146">
        <v>7.99</v>
      </c>
      <c r="H146">
        <v>54.2</v>
      </c>
      <c r="I146">
        <v>23.8</v>
      </c>
    </row>
    <row r="147" spans="1:10" x14ac:dyDescent="0.25">
      <c r="A147" t="s">
        <v>428</v>
      </c>
      <c r="B147" t="s">
        <v>429</v>
      </c>
      <c r="C147" s="1">
        <v>45279</v>
      </c>
      <c r="D147" s="2">
        <v>0.4375</v>
      </c>
      <c r="E147" t="s">
        <v>379</v>
      </c>
      <c r="F147">
        <v>4</v>
      </c>
      <c r="G147">
        <v>8.048</v>
      </c>
      <c r="H147">
        <v>54.6</v>
      </c>
      <c r="I147">
        <v>26.2</v>
      </c>
    </row>
    <row r="148" spans="1:10" x14ac:dyDescent="0.25">
      <c r="A148" t="s">
        <v>430</v>
      </c>
      <c r="B148" t="s">
        <v>431</v>
      </c>
      <c r="C148" s="1">
        <v>45279</v>
      </c>
      <c r="D148" s="2">
        <v>0.46875</v>
      </c>
      <c r="E148" t="s">
        <v>379</v>
      </c>
      <c r="F148">
        <v>4.2</v>
      </c>
      <c r="G148">
        <v>7.9039999999999999</v>
      </c>
      <c r="H148">
        <v>54.5</v>
      </c>
      <c r="I148">
        <v>24.1</v>
      </c>
    </row>
    <row r="149" spans="1:10" x14ac:dyDescent="0.25">
      <c r="A149" t="s">
        <v>433</v>
      </c>
      <c r="B149" t="s">
        <v>434</v>
      </c>
      <c r="C149" s="1">
        <v>45279</v>
      </c>
      <c r="D149" s="2">
        <v>0.52083333333333337</v>
      </c>
      <c r="E149" t="s">
        <v>379</v>
      </c>
      <c r="J149" t="s">
        <v>465</v>
      </c>
    </row>
    <row r="150" spans="1:10" x14ac:dyDescent="0.25">
      <c r="A150" t="s">
        <v>436</v>
      </c>
      <c r="B150" t="s">
        <v>437</v>
      </c>
      <c r="C150" s="1">
        <v>45279</v>
      </c>
      <c r="D150" s="2">
        <v>0.54513888888888895</v>
      </c>
      <c r="E150" t="s">
        <v>379</v>
      </c>
      <c r="F150">
        <v>10</v>
      </c>
      <c r="G150">
        <v>7.9180000000000001</v>
      </c>
      <c r="H150">
        <v>54.7</v>
      </c>
      <c r="I150">
        <v>27.7</v>
      </c>
    </row>
    <row r="151" spans="1:10" x14ac:dyDescent="0.25">
      <c r="A151" t="s">
        <v>438</v>
      </c>
      <c r="B151" t="s">
        <v>439</v>
      </c>
      <c r="C151" s="1">
        <v>45279</v>
      </c>
      <c r="D151" s="4">
        <v>0.55555555555555558</v>
      </c>
      <c r="E151" t="s">
        <v>379</v>
      </c>
      <c r="F151">
        <v>8.8000000000000007</v>
      </c>
      <c r="J151" t="s">
        <v>465</v>
      </c>
    </row>
    <row r="152" spans="1:10" x14ac:dyDescent="0.25">
      <c r="A152" t="s">
        <v>441</v>
      </c>
      <c r="B152" t="s">
        <v>442</v>
      </c>
      <c r="C152" s="1">
        <v>45279</v>
      </c>
      <c r="D152" s="4">
        <v>0.56944444444444442</v>
      </c>
      <c r="E152" t="s">
        <v>379</v>
      </c>
      <c r="F152">
        <v>14.3</v>
      </c>
      <c r="J152" t="s">
        <v>465</v>
      </c>
    </row>
    <row r="153" spans="1:10" x14ac:dyDescent="0.25">
      <c r="A153" t="s">
        <v>443</v>
      </c>
      <c r="B153" t="s">
        <v>444</v>
      </c>
      <c r="C153" s="1">
        <v>45279</v>
      </c>
      <c r="D153" s="4">
        <v>0.58333333333333337</v>
      </c>
      <c r="E153" t="s">
        <v>379</v>
      </c>
      <c r="F153">
        <v>8.5</v>
      </c>
      <c r="J153" t="s">
        <v>465</v>
      </c>
    </row>
    <row r="154" spans="1:10" x14ac:dyDescent="0.25">
      <c r="A154" t="s">
        <v>443</v>
      </c>
      <c r="B154" t="s">
        <v>444</v>
      </c>
      <c r="C154" s="1">
        <v>45386</v>
      </c>
      <c r="D154" s="2">
        <v>0.375</v>
      </c>
      <c r="E154" t="s">
        <v>379</v>
      </c>
      <c r="F154">
        <v>8.65</v>
      </c>
      <c r="G154" s="5">
        <v>7.99</v>
      </c>
      <c r="H154" s="5">
        <v>55.7</v>
      </c>
      <c r="I154" s="5">
        <v>21.9</v>
      </c>
    </row>
    <row r="155" spans="1:10" x14ac:dyDescent="0.25">
      <c r="A155" t="s">
        <v>438</v>
      </c>
      <c r="B155" t="s">
        <v>439</v>
      </c>
      <c r="C155" s="1">
        <v>45386</v>
      </c>
      <c r="D155" s="2">
        <v>0.41666666666666669</v>
      </c>
      <c r="E155" t="s">
        <v>379</v>
      </c>
      <c r="F155">
        <v>9.5</v>
      </c>
      <c r="G155" s="5">
        <v>8.08</v>
      </c>
      <c r="H155" s="5">
        <v>55.8</v>
      </c>
      <c r="I155" s="5">
        <v>21.8</v>
      </c>
    </row>
    <row r="156" spans="1:10" x14ac:dyDescent="0.25">
      <c r="A156" t="s">
        <v>441</v>
      </c>
      <c r="B156" t="s">
        <v>442</v>
      </c>
      <c r="C156" s="1">
        <v>45386</v>
      </c>
      <c r="D156" s="2">
        <v>0.43055555555555558</v>
      </c>
      <c r="E156" t="s">
        <v>379</v>
      </c>
      <c r="F156">
        <v>14.2</v>
      </c>
      <c r="G156" s="5"/>
      <c r="H156" s="5"/>
      <c r="I156" s="5"/>
      <c r="J156" t="s">
        <v>465</v>
      </c>
    </row>
    <row r="157" spans="1:10" x14ac:dyDescent="0.25">
      <c r="A157" t="s">
        <v>447</v>
      </c>
      <c r="B157" t="s">
        <v>448</v>
      </c>
      <c r="C157" s="1">
        <v>45386</v>
      </c>
      <c r="D157" s="2">
        <v>0.4597222222222222</v>
      </c>
      <c r="E157" t="s">
        <v>379</v>
      </c>
      <c r="F157">
        <v>12</v>
      </c>
      <c r="G157" s="5">
        <v>7.82</v>
      </c>
      <c r="H157" s="5">
        <v>55.5</v>
      </c>
      <c r="I157" s="5">
        <v>23.4</v>
      </c>
    </row>
    <row r="158" spans="1:10" x14ac:dyDescent="0.25">
      <c r="A158" t="s">
        <v>449</v>
      </c>
      <c r="B158" t="s">
        <v>450</v>
      </c>
      <c r="C158" s="1">
        <v>45386</v>
      </c>
      <c r="D158" s="2">
        <v>0.48958333333333331</v>
      </c>
      <c r="E158" t="s">
        <v>379</v>
      </c>
      <c r="F158">
        <v>14.8</v>
      </c>
      <c r="G158" s="5">
        <v>8.01</v>
      </c>
      <c r="H158" s="5">
        <v>55</v>
      </c>
      <c r="I158" s="5">
        <v>22.7</v>
      </c>
    </row>
    <row r="159" spans="1:10" x14ac:dyDescent="0.25">
      <c r="A159" s="3" t="s">
        <v>428</v>
      </c>
      <c r="B159" t="s">
        <v>429</v>
      </c>
      <c r="C159" s="1">
        <v>45386</v>
      </c>
      <c r="D159" s="2">
        <v>0.51041666666666663</v>
      </c>
      <c r="E159" t="s">
        <v>379</v>
      </c>
      <c r="F159">
        <v>4.3</v>
      </c>
      <c r="G159" s="5">
        <v>7.98</v>
      </c>
      <c r="H159" s="5">
        <v>55.7</v>
      </c>
      <c r="I159" s="5">
        <v>24.9</v>
      </c>
    </row>
    <row r="160" spans="1:10" x14ac:dyDescent="0.25">
      <c r="A160" t="s">
        <v>452</v>
      </c>
      <c r="B160" t="s">
        <v>453</v>
      </c>
      <c r="C160" s="1">
        <v>45386</v>
      </c>
      <c r="D160" s="2">
        <v>0.54166666666666663</v>
      </c>
      <c r="E160" t="s">
        <v>379</v>
      </c>
      <c r="F160">
        <v>15.4</v>
      </c>
      <c r="G160" s="5"/>
      <c r="H160" s="5"/>
      <c r="I160" s="5"/>
      <c r="J160" t="s">
        <v>465</v>
      </c>
    </row>
    <row r="161" spans="1:9" x14ac:dyDescent="0.25">
      <c r="A161" s="3" t="s">
        <v>420</v>
      </c>
      <c r="B161" t="s">
        <v>421</v>
      </c>
      <c r="C161" s="1">
        <v>45386</v>
      </c>
      <c r="D161" s="2">
        <v>0.55208333333333337</v>
      </c>
      <c r="E161" t="s">
        <v>379</v>
      </c>
      <c r="F161">
        <v>4.9000000000000004</v>
      </c>
      <c r="G161" s="5">
        <v>7.92</v>
      </c>
      <c r="H161" s="5">
        <v>55</v>
      </c>
      <c r="I161" s="5">
        <v>22.8</v>
      </c>
    </row>
    <row r="162" spans="1:9" x14ac:dyDescent="0.25">
      <c r="A162" s="3" t="s">
        <v>418</v>
      </c>
      <c r="B162" t="s">
        <v>419</v>
      </c>
      <c r="C162" s="1">
        <v>45386</v>
      </c>
      <c r="D162" s="2">
        <v>0.58125000000000004</v>
      </c>
      <c r="E162" t="s">
        <v>379</v>
      </c>
      <c r="F162">
        <v>5.3</v>
      </c>
      <c r="G162" s="5">
        <v>7.94</v>
      </c>
      <c r="H162" s="5">
        <v>55.6</v>
      </c>
      <c r="I162" s="5">
        <v>22.5</v>
      </c>
    </row>
    <row r="163" spans="1:9" x14ac:dyDescent="0.25">
      <c r="A163" s="3" t="s">
        <v>433</v>
      </c>
      <c r="B163" t="s">
        <v>455</v>
      </c>
      <c r="C163" s="1">
        <v>45386</v>
      </c>
      <c r="D163" s="2">
        <v>0.60763888888888884</v>
      </c>
      <c r="E163" t="s">
        <v>172</v>
      </c>
      <c r="F163">
        <v>5.5</v>
      </c>
      <c r="G163" s="5">
        <v>7.9</v>
      </c>
      <c r="H163" s="5">
        <v>55.1</v>
      </c>
      <c r="I163" s="5">
        <v>25</v>
      </c>
    </row>
    <row r="164" spans="1:9" x14ac:dyDescent="0.25">
      <c r="A164" s="3" t="s">
        <v>433</v>
      </c>
      <c r="B164" t="s">
        <v>434</v>
      </c>
      <c r="C164" s="1">
        <v>45386</v>
      </c>
      <c r="D164" s="2">
        <v>0.61805555555555558</v>
      </c>
      <c r="E164" t="s">
        <v>379</v>
      </c>
      <c r="F164">
        <v>10.4</v>
      </c>
      <c r="G164" s="5">
        <v>7.91</v>
      </c>
      <c r="H164" s="5">
        <v>55.2</v>
      </c>
      <c r="I164" s="5">
        <v>26.1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8C38D-344C-4C33-BF5A-E136CC80B1F0}">
  <dimension ref="A1:W102"/>
  <sheetViews>
    <sheetView tabSelected="1" topLeftCell="A66" workbookViewId="0">
      <selection activeCell="R103" sqref="R103"/>
    </sheetView>
  </sheetViews>
  <sheetFormatPr defaultColWidth="8.7109375" defaultRowHeight="13.5" x14ac:dyDescent="0.25"/>
  <cols>
    <col min="1" max="1" width="9.7109375" style="7" bestFit="1" customWidth="1"/>
    <col min="2" max="2" width="8.7109375" style="7"/>
    <col min="3" max="3" width="10.42578125" style="7" bestFit="1" customWidth="1"/>
    <col min="4" max="4" width="5.42578125" style="7" bestFit="1" customWidth="1"/>
    <col min="5" max="5" width="14.7109375" style="7" bestFit="1" customWidth="1"/>
    <col min="6" max="7" width="10.28515625" style="7" bestFit="1" customWidth="1"/>
    <col min="8" max="9" width="9.28515625" style="7" bestFit="1" customWidth="1"/>
    <col min="10" max="15" width="10.28515625" style="7" bestFit="1" customWidth="1"/>
    <col min="16" max="16" width="12.42578125" style="7" bestFit="1" customWidth="1"/>
    <col min="17" max="17" width="12.42578125" style="7" customWidth="1"/>
    <col min="18" max="23" width="10.28515625" style="7" bestFit="1" customWidth="1"/>
    <col min="24" max="16384" width="8.7109375" style="7"/>
  </cols>
  <sheetData>
    <row r="1" spans="1:23" x14ac:dyDescent="0.25">
      <c r="A1" s="7" t="s">
        <v>117</v>
      </c>
      <c r="B1" s="7" t="s">
        <v>118</v>
      </c>
      <c r="C1" s="7" t="s">
        <v>119</v>
      </c>
      <c r="D1" s="7" t="s">
        <v>120</v>
      </c>
      <c r="E1" s="7" t="s">
        <v>124</v>
      </c>
      <c r="F1" s="15" t="s">
        <v>459</v>
      </c>
      <c r="G1" s="15" t="s">
        <v>466</v>
      </c>
      <c r="H1" s="15" t="s">
        <v>467</v>
      </c>
      <c r="I1" s="15" t="s">
        <v>468</v>
      </c>
      <c r="J1" s="15" t="s">
        <v>469</v>
      </c>
      <c r="K1" s="15" t="s">
        <v>470</v>
      </c>
      <c r="L1" s="15" t="s">
        <v>471</v>
      </c>
      <c r="M1" s="15" t="s">
        <v>472</v>
      </c>
      <c r="N1" s="15" t="s">
        <v>473</v>
      </c>
      <c r="O1" s="15" t="s">
        <v>474</v>
      </c>
      <c r="P1" s="15" t="s">
        <v>475</v>
      </c>
      <c r="Q1" s="15" t="s">
        <v>476</v>
      </c>
      <c r="R1" s="15" t="s">
        <v>477</v>
      </c>
      <c r="S1" s="15" t="s">
        <v>478</v>
      </c>
      <c r="T1" s="15" t="s">
        <v>479</v>
      </c>
      <c r="U1" s="15" t="s">
        <v>480</v>
      </c>
      <c r="V1" s="15" t="s">
        <v>481</v>
      </c>
      <c r="W1" s="15" t="s">
        <v>482</v>
      </c>
    </row>
    <row r="2" spans="1:23" x14ac:dyDescent="0.25">
      <c r="F2" s="30">
        <v>0.1</v>
      </c>
      <c r="G2" s="30">
        <v>0.1</v>
      </c>
      <c r="H2" s="30">
        <v>1</v>
      </c>
      <c r="I2" s="30">
        <v>1</v>
      </c>
      <c r="J2" s="30">
        <v>8.9999999999999993E-3</v>
      </c>
      <c r="K2" s="30">
        <v>6.0000000000000001E-3</v>
      </c>
      <c r="L2" s="30">
        <v>6.0000000000000001E-3</v>
      </c>
      <c r="M2" s="30">
        <v>0.01</v>
      </c>
      <c r="N2" s="30">
        <v>0.1</v>
      </c>
      <c r="O2" s="30">
        <v>0.5</v>
      </c>
      <c r="P2" s="30">
        <v>2</v>
      </c>
      <c r="Q2" s="31">
        <f>((2*61.018*2)/100.09)</f>
        <v>2.438525327205515</v>
      </c>
      <c r="R2" s="30">
        <v>0.03</v>
      </c>
      <c r="S2" s="30">
        <v>2.5000000000000001E-2</v>
      </c>
      <c r="T2" s="30">
        <v>0.01</v>
      </c>
      <c r="U2" s="30">
        <v>0.25</v>
      </c>
      <c r="V2" s="30">
        <v>2.5000000000000001E-2</v>
      </c>
      <c r="W2" s="30">
        <v>0.25</v>
      </c>
    </row>
    <row r="3" spans="1:23" x14ac:dyDescent="0.25">
      <c r="F3" s="15"/>
      <c r="G3" s="15" t="s">
        <v>463</v>
      </c>
      <c r="H3" s="15" t="s">
        <v>483</v>
      </c>
      <c r="I3" s="15" t="s">
        <v>483</v>
      </c>
      <c r="J3" s="15" t="s">
        <v>483</v>
      </c>
      <c r="K3" s="15" t="s">
        <v>483</v>
      </c>
      <c r="L3" s="15" t="s">
        <v>483</v>
      </c>
      <c r="M3" s="15" t="s">
        <v>483</v>
      </c>
      <c r="N3" s="15" t="s">
        <v>483</v>
      </c>
      <c r="O3" s="15" t="s">
        <v>483</v>
      </c>
      <c r="P3" s="15" t="s">
        <v>484</v>
      </c>
      <c r="Q3" s="25" t="s">
        <v>483</v>
      </c>
      <c r="R3" s="25" t="s">
        <v>483</v>
      </c>
      <c r="S3" s="25" t="s">
        <v>483</v>
      </c>
      <c r="T3" s="25" t="s">
        <v>483</v>
      </c>
      <c r="U3" s="25" t="s">
        <v>483</v>
      </c>
      <c r="V3" s="25" t="s">
        <v>483</v>
      </c>
      <c r="W3" s="25" t="s">
        <v>483</v>
      </c>
    </row>
    <row r="4" spans="1:23" x14ac:dyDescent="0.25">
      <c r="A4" s="7" t="s">
        <v>127</v>
      </c>
      <c r="B4" s="7" t="s">
        <v>128</v>
      </c>
      <c r="C4" s="18">
        <v>44889</v>
      </c>
      <c r="D4" s="19">
        <v>0.39305555555555555</v>
      </c>
      <c r="E4" s="7" t="s">
        <v>129</v>
      </c>
      <c r="F4" s="16">
        <v>7.875</v>
      </c>
      <c r="G4" s="16">
        <v>53.3</v>
      </c>
      <c r="H4" s="15">
        <v>20000</v>
      </c>
      <c r="I4" s="15">
        <v>2600</v>
      </c>
      <c r="J4" s="15">
        <v>0.11</v>
      </c>
      <c r="K4" s="15">
        <v>5.8000000000000003E-2</v>
      </c>
      <c r="L4" s="15">
        <v>1.4E-2</v>
      </c>
      <c r="M4" s="15">
        <v>0.08</v>
      </c>
      <c r="N4" s="15">
        <v>0.3</v>
      </c>
      <c r="O4" s="15">
        <v>1.3</v>
      </c>
      <c r="P4" s="17">
        <v>147.7056277159933</v>
      </c>
      <c r="Q4" s="17">
        <f>((P4*61.018*2)/100.09)</f>
        <v>180.09195707811929</v>
      </c>
      <c r="R4" s="15">
        <v>5</v>
      </c>
      <c r="S4" s="15">
        <v>420</v>
      </c>
      <c r="T4" s="15">
        <v>0.35</v>
      </c>
      <c r="U4" s="15">
        <v>440</v>
      </c>
      <c r="V4" s="15">
        <v>1400</v>
      </c>
      <c r="W4" s="15">
        <v>11000</v>
      </c>
    </row>
    <row r="5" spans="1:23" x14ac:dyDescent="0.25">
      <c r="A5" s="7" t="s">
        <v>130</v>
      </c>
      <c r="B5" s="7" t="s">
        <v>131</v>
      </c>
      <c r="C5" s="18">
        <v>44889</v>
      </c>
      <c r="D5" s="19">
        <v>0.40833333333333338</v>
      </c>
      <c r="E5" s="7" t="s">
        <v>129</v>
      </c>
      <c r="F5" s="16">
        <v>7.82</v>
      </c>
      <c r="G5" s="16">
        <v>53</v>
      </c>
      <c r="H5" s="15">
        <v>20000</v>
      </c>
      <c r="I5" s="15">
        <v>2600</v>
      </c>
      <c r="J5" s="15">
        <v>0.34</v>
      </c>
      <c r="K5" s="15">
        <v>2.1999999999999999E-2</v>
      </c>
      <c r="L5" s="15">
        <v>1.4E-2</v>
      </c>
      <c r="M5" s="15">
        <v>0.06</v>
      </c>
      <c r="N5" s="15">
        <v>0.4</v>
      </c>
      <c r="O5" s="15">
        <v>2.7</v>
      </c>
      <c r="P5" s="17">
        <v>183.91202113941227</v>
      </c>
      <c r="Q5" s="17">
        <f t="shared" ref="Q5:Q68" si="0">((P5*61.018*2)/100.09)</f>
        <v>224.23706076300644</v>
      </c>
      <c r="R5" s="15">
        <v>5</v>
      </c>
      <c r="S5" s="15">
        <v>420</v>
      </c>
      <c r="T5" s="15">
        <v>1.3</v>
      </c>
      <c r="U5" s="15">
        <v>430</v>
      </c>
      <c r="V5" s="15">
        <v>1400</v>
      </c>
      <c r="W5" s="15">
        <v>11000</v>
      </c>
    </row>
    <row r="6" spans="1:23" x14ac:dyDescent="0.25">
      <c r="A6" s="7" t="s">
        <v>132</v>
      </c>
      <c r="B6" s="7" t="s">
        <v>133</v>
      </c>
      <c r="C6" s="18">
        <v>44889</v>
      </c>
      <c r="D6" s="19">
        <v>0.41666666666666669</v>
      </c>
      <c r="E6" s="7" t="s">
        <v>129</v>
      </c>
      <c r="F6" s="16">
        <v>7.8</v>
      </c>
      <c r="G6" s="16">
        <v>32.799999999999997</v>
      </c>
      <c r="H6" s="15">
        <v>12000</v>
      </c>
      <c r="I6" s="15">
        <v>1600</v>
      </c>
      <c r="J6" s="15">
        <v>0.14000000000000001</v>
      </c>
      <c r="K6" s="15">
        <v>5.6000000000000001E-2</v>
      </c>
      <c r="L6" s="15">
        <v>1.4999999999999999E-2</v>
      </c>
      <c r="M6" s="15">
        <v>0.06</v>
      </c>
      <c r="N6" s="15">
        <v>0.2</v>
      </c>
      <c r="O6" s="15">
        <v>3.7</v>
      </c>
      <c r="P6" s="17">
        <v>172.11751419087429</v>
      </c>
      <c r="Q6" s="17">
        <f t="shared" si="0"/>
        <v>209.85645880505081</v>
      </c>
      <c r="R6" s="15">
        <v>3.1</v>
      </c>
      <c r="S6" s="15">
        <v>280</v>
      </c>
      <c r="T6" s="15">
        <v>0.04</v>
      </c>
      <c r="U6" s="15">
        <v>250</v>
      </c>
      <c r="V6" s="15">
        <v>780</v>
      </c>
      <c r="W6" s="15">
        <v>6400</v>
      </c>
    </row>
    <row r="7" spans="1:23" x14ac:dyDescent="0.25">
      <c r="A7" s="7" t="s">
        <v>134</v>
      </c>
      <c r="B7" s="7" t="s">
        <v>135</v>
      </c>
      <c r="C7" s="18">
        <v>44889</v>
      </c>
      <c r="D7" s="19">
        <v>0.42499999999999999</v>
      </c>
      <c r="E7" s="7" t="s">
        <v>129</v>
      </c>
      <c r="F7" s="16">
        <v>7.6950000000000003</v>
      </c>
      <c r="G7" s="16">
        <v>44.4</v>
      </c>
      <c r="H7" s="15">
        <v>17000</v>
      </c>
      <c r="I7" s="15">
        <v>2200</v>
      </c>
      <c r="J7" s="17" t="s">
        <v>485</v>
      </c>
      <c r="K7" s="15">
        <v>6.7000000000000004E-2</v>
      </c>
      <c r="L7" s="15">
        <v>0.28999999999999998</v>
      </c>
      <c r="M7" s="15">
        <v>7.0000000000000007E-2</v>
      </c>
      <c r="N7" s="15">
        <v>0.6</v>
      </c>
      <c r="O7" s="15">
        <v>3.6</v>
      </c>
      <c r="P7" s="17">
        <v>186.51778430246139</v>
      </c>
      <c r="Q7" s="17">
        <f t="shared" si="0"/>
        <v>227.41417049790368</v>
      </c>
      <c r="R7" s="15">
        <v>3.4</v>
      </c>
      <c r="S7" s="15">
        <v>390</v>
      </c>
      <c r="T7" s="15">
        <v>0.01</v>
      </c>
      <c r="U7" s="15">
        <v>340</v>
      </c>
      <c r="V7" s="15">
        <v>1100</v>
      </c>
      <c r="W7" s="15">
        <v>8900</v>
      </c>
    </row>
    <row r="8" spans="1:23" x14ac:dyDescent="0.25">
      <c r="A8" s="7" t="s">
        <v>136</v>
      </c>
      <c r="B8" s="7" t="s">
        <v>137</v>
      </c>
      <c r="C8" s="18">
        <v>44889</v>
      </c>
      <c r="D8" s="19">
        <v>0.43124999999999997</v>
      </c>
      <c r="E8" s="7" t="s">
        <v>129</v>
      </c>
      <c r="F8" s="16">
        <v>7.81</v>
      </c>
      <c r="G8" s="16">
        <v>37.200000000000003</v>
      </c>
      <c r="H8" s="15">
        <v>13000</v>
      </c>
      <c r="I8" s="15">
        <v>1800</v>
      </c>
      <c r="J8" s="17" t="s">
        <v>485</v>
      </c>
      <c r="K8" s="15">
        <v>4.1000000000000002E-2</v>
      </c>
      <c r="L8" s="15">
        <v>0.5</v>
      </c>
      <c r="M8" s="15">
        <v>0.05</v>
      </c>
      <c r="N8" s="15">
        <v>0.7</v>
      </c>
      <c r="O8" s="15">
        <v>3.5</v>
      </c>
      <c r="P8" s="17">
        <v>196.46082795093818</v>
      </c>
      <c r="Q8" s="17">
        <f t="shared" si="0"/>
        <v>239.53735238106395</v>
      </c>
      <c r="R8" s="15">
        <v>2.6</v>
      </c>
      <c r="S8" s="15">
        <v>300</v>
      </c>
      <c r="T8" s="15" t="s">
        <v>486</v>
      </c>
      <c r="U8" s="15">
        <v>280</v>
      </c>
      <c r="V8" s="15">
        <v>880</v>
      </c>
      <c r="W8" s="15">
        <v>7400</v>
      </c>
    </row>
    <row r="9" spans="1:23" x14ac:dyDescent="0.25">
      <c r="A9" s="7" t="s">
        <v>139</v>
      </c>
      <c r="B9" s="7" t="s">
        <v>140</v>
      </c>
      <c r="C9" s="18">
        <v>44889</v>
      </c>
      <c r="D9" s="19">
        <v>0.43888888888888888</v>
      </c>
      <c r="E9" s="7" t="s">
        <v>129</v>
      </c>
      <c r="F9" s="16">
        <v>7.93</v>
      </c>
      <c r="G9" s="16">
        <v>39.700000000000003</v>
      </c>
      <c r="H9" s="15">
        <v>14000</v>
      </c>
      <c r="I9" s="15">
        <v>1900</v>
      </c>
      <c r="J9" s="17" t="s">
        <v>485</v>
      </c>
      <c r="K9" s="15">
        <v>3.6999999999999998E-2</v>
      </c>
      <c r="L9" s="15">
        <v>0.11</v>
      </c>
      <c r="M9" s="15">
        <v>0.04</v>
      </c>
      <c r="N9" s="15">
        <v>0.4</v>
      </c>
      <c r="O9" s="15">
        <v>2.5</v>
      </c>
      <c r="P9" s="17">
        <v>129.94529457836924</v>
      </c>
      <c r="Q9" s="17">
        <f t="shared" si="0"/>
        <v>158.43744599026743</v>
      </c>
      <c r="R9" s="15">
        <v>3.5</v>
      </c>
      <c r="S9" s="15">
        <v>300</v>
      </c>
      <c r="T9" s="15" t="s">
        <v>486</v>
      </c>
      <c r="U9" s="15">
        <v>290</v>
      </c>
      <c r="V9" s="15">
        <v>970</v>
      </c>
      <c r="W9" s="15">
        <v>7900</v>
      </c>
    </row>
    <row r="10" spans="1:23" x14ac:dyDescent="0.25">
      <c r="A10" s="7" t="s">
        <v>141</v>
      </c>
      <c r="B10" s="7" t="s">
        <v>142</v>
      </c>
      <c r="C10" s="18">
        <v>44889</v>
      </c>
      <c r="D10" s="19">
        <v>0.45069444444444445</v>
      </c>
      <c r="E10" s="7" t="s">
        <v>129</v>
      </c>
      <c r="F10" s="16">
        <v>7.835</v>
      </c>
      <c r="G10" s="16">
        <v>49.3</v>
      </c>
      <c r="H10" s="15">
        <v>18000</v>
      </c>
      <c r="I10" s="15">
        <v>2500</v>
      </c>
      <c r="J10" s="15">
        <v>0.01</v>
      </c>
      <c r="K10" s="15">
        <v>4.8000000000000001E-2</v>
      </c>
      <c r="L10" s="15">
        <v>0.37</v>
      </c>
      <c r="M10" s="15">
        <v>0.05</v>
      </c>
      <c r="N10" s="15">
        <v>0.6</v>
      </c>
      <c r="O10" s="15">
        <v>1.7</v>
      </c>
      <c r="P10" s="17">
        <v>257.14768056405524</v>
      </c>
      <c r="Q10" s="17">
        <f t="shared" si="0"/>
        <v>313.53056594380098</v>
      </c>
      <c r="R10" s="15">
        <v>4.0999999999999996</v>
      </c>
      <c r="S10" s="15">
        <v>400</v>
      </c>
      <c r="T10" s="15" t="s">
        <v>486</v>
      </c>
      <c r="U10" s="15">
        <v>390</v>
      </c>
      <c r="V10" s="15">
        <v>1200</v>
      </c>
      <c r="W10" s="15">
        <v>10000</v>
      </c>
    </row>
    <row r="11" spans="1:23" x14ac:dyDescent="0.25">
      <c r="A11" s="7" t="s">
        <v>143</v>
      </c>
      <c r="B11" s="7" t="s">
        <v>144</v>
      </c>
      <c r="C11" s="18">
        <v>44889</v>
      </c>
      <c r="D11" s="19">
        <v>0.46319444444444446</v>
      </c>
      <c r="E11" s="7" t="s">
        <v>129</v>
      </c>
      <c r="F11" s="16">
        <v>7.82</v>
      </c>
      <c r="G11" s="16">
        <v>46.3</v>
      </c>
      <c r="H11" s="15">
        <v>17000</v>
      </c>
      <c r="I11" s="15">
        <v>2300</v>
      </c>
      <c r="J11" s="15">
        <v>6.6000000000000003E-2</v>
      </c>
      <c r="K11" s="15">
        <v>5.3999999999999999E-2</v>
      </c>
      <c r="L11" s="17" t="s">
        <v>487</v>
      </c>
      <c r="M11" s="15">
        <v>0.06</v>
      </c>
      <c r="N11" s="15">
        <v>0.5</v>
      </c>
      <c r="O11" s="15">
        <v>1.3</v>
      </c>
      <c r="P11" s="17">
        <v>138.51688393050441</v>
      </c>
      <c r="Q11" s="17">
        <f t="shared" si="0"/>
        <v>168.88846485506082</v>
      </c>
      <c r="R11" s="15">
        <v>4.8</v>
      </c>
      <c r="S11" s="15">
        <v>350</v>
      </c>
      <c r="T11" s="15">
        <v>0.11</v>
      </c>
      <c r="U11" s="15">
        <v>380</v>
      </c>
      <c r="V11" s="15">
        <v>1200</v>
      </c>
      <c r="W11" s="15">
        <v>9500</v>
      </c>
    </row>
    <row r="12" spans="1:23" x14ac:dyDescent="0.25">
      <c r="A12" s="7" t="s">
        <v>145</v>
      </c>
      <c r="B12" s="7" t="s">
        <v>146</v>
      </c>
      <c r="C12" s="18">
        <v>44889</v>
      </c>
      <c r="D12" s="19">
        <v>0.47083333333333338</v>
      </c>
      <c r="E12" s="7" t="s">
        <v>129</v>
      </c>
      <c r="F12" s="16">
        <v>7.97</v>
      </c>
      <c r="G12" s="16">
        <v>51.7</v>
      </c>
      <c r="H12" s="15">
        <v>20000</v>
      </c>
      <c r="I12" s="15">
        <v>2600</v>
      </c>
      <c r="J12" s="15">
        <v>9.6000000000000002E-2</v>
      </c>
      <c r="K12" s="15">
        <v>8.3000000000000004E-2</v>
      </c>
      <c r="L12" s="17" t="s">
        <v>487</v>
      </c>
      <c r="M12" s="15">
        <v>0.1</v>
      </c>
      <c r="N12" s="15">
        <v>0.2</v>
      </c>
      <c r="O12" s="15">
        <v>3.2</v>
      </c>
      <c r="P12" s="17">
        <v>162.86019769056833</v>
      </c>
      <c r="Q12" s="17">
        <f t="shared" si="0"/>
        <v>198.56935843107399</v>
      </c>
      <c r="R12" s="15">
        <v>5.0999999999999996</v>
      </c>
      <c r="S12" s="15">
        <v>410</v>
      </c>
      <c r="T12" s="15">
        <v>0.04</v>
      </c>
      <c r="U12" s="15">
        <v>420</v>
      </c>
      <c r="V12" s="15">
        <v>1300</v>
      </c>
      <c r="W12" s="15">
        <v>11000</v>
      </c>
    </row>
    <row r="13" spans="1:23" x14ac:dyDescent="0.25">
      <c r="A13" s="7" t="s">
        <v>147</v>
      </c>
      <c r="B13" s="7" t="s">
        <v>148</v>
      </c>
      <c r="C13" s="18">
        <v>44889</v>
      </c>
      <c r="D13" s="19">
        <v>0.4777777777777778</v>
      </c>
      <c r="E13" s="7" t="s">
        <v>129</v>
      </c>
      <c r="F13" s="16">
        <v>7.94</v>
      </c>
      <c r="G13" s="16">
        <v>53</v>
      </c>
      <c r="H13" s="15">
        <v>21000</v>
      </c>
      <c r="I13" s="15">
        <v>2800</v>
      </c>
      <c r="J13" s="15">
        <v>8.9999999999999993E-3</v>
      </c>
      <c r="K13" s="15">
        <v>9.7000000000000003E-2</v>
      </c>
      <c r="L13" s="15">
        <v>0.19</v>
      </c>
      <c r="M13" s="15">
        <v>0.11</v>
      </c>
      <c r="N13" s="15">
        <v>0.3</v>
      </c>
      <c r="O13" s="15">
        <v>3.9</v>
      </c>
      <c r="P13" s="17">
        <v>128.916703856113</v>
      </c>
      <c r="Q13" s="17">
        <f t="shared" si="0"/>
        <v>157.1833237264922</v>
      </c>
      <c r="R13" s="15">
        <v>4.9000000000000004</v>
      </c>
      <c r="S13" s="15">
        <v>420</v>
      </c>
      <c r="T13" s="15" t="s">
        <v>486</v>
      </c>
      <c r="U13" s="15">
        <v>440</v>
      </c>
      <c r="V13" s="15">
        <v>1300</v>
      </c>
      <c r="W13" s="15">
        <v>11000</v>
      </c>
    </row>
    <row r="14" spans="1:23" x14ac:dyDescent="0.25">
      <c r="A14" s="7" t="s">
        <v>149</v>
      </c>
      <c r="B14" s="7" t="s">
        <v>150</v>
      </c>
      <c r="C14" s="18">
        <v>44889</v>
      </c>
      <c r="D14" s="19">
        <v>0.48472222222222222</v>
      </c>
      <c r="E14" s="7" t="s">
        <v>129</v>
      </c>
      <c r="F14" s="16">
        <v>7.96</v>
      </c>
      <c r="G14" s="15">
        <v>50.8</v>
      </c>
      <c r="H14" s="15">
        <v>19000</v>
      </c>
      <c r="I14" s="15">
        <v>2500</v>
      </c>
      <c r="J14" s="17" t="s">
        <v>485</v>
      </c>
      <c r="K14" s="15">
        <v>7.8E-2</v>
      </c>
      <c r="L14" s="15">
        <v>0.4</v>
      </c>
      <c r="M14" s="15">
        <v>0.08</v>
      </c>
      <c r="N14" s="15">
        <v>0.8</v>
      </c>
      <c r="O14" s="15">
        <v>3</v>
      </c>
      <c r="P14" s="17">
        <v>147.23734704846285</v>
      </c>
      <c r="Q14" s="17">
        <f t="shared" si="0"/>
        <v>179.52099994411242</v>
      </c>
      <c r="R14" s="15">
        <v>5.2</v>
      </c>
      <c r="S14" s="15">
        <v>390</v>
      </c>
      <c r="T14" s="15" t="s">
        <v>486</v>
      </c>
      <c r="U14" s="15">
        <v>420</v>
      </c>
      <c r="V14" s="15">
        <v>1300</v>
      </c>
      <c r="W14" s="15">
        <v>11000</v>
      </c>
    </row>
    <row r="15" spans="1:23" x14ac:dyDescent="0.25">
      <c r="A15" s="7" t="s">
        <v>151</v>
      </c>
      <c r="B15" s="7" t="s">
        <v>152</v>
      </c>
      <c r="C15" s="18">
        <v>44889</v>
      </c>
      <c r="D15" s="19">
        <v>0.4916666666666667</v>
      </c>
      <c r="E15" s="7" t="s">
        <v>129</v>
      </c>
      <c r="F15" s="16">
        <v>7.68</v>
      </c>
      <c r="G15" s="16">
        <v>51</v>
      </c>
      <c r="H15" s="15">
        <v>20000</v>
      </c>
      <c r="I15" s="15">
        <v>2600</v>
      </c>
      <c r="J15" s="15">
        <v>0.28999999999999998</v>
      </c>
      <c r="K15" s="15">
        <v>5.0999999999999997E-2</v>
      </c>
      <c r="L15" s="17" t="s">
        <v>487</v>
      </c>
      <c r="M15" s="15">
        <v>0.1</v>
      </c>
      <c r="N15" s="15">
        <v>0.5</v>
      </c>
      <c r="O15" s="15">
        <v>6.7</v>
      </c>
      <c r="P15" s="17">
        <v>188.34251029769047</v>
      </c>
      <c r="Q15" s="17">
        <f t="shared" si="0"/>
        <v>229.63899077519187</v>
      </c>
      <c r="R15" s="15">
        <v>4.2</v>
      </c>
      <c r="S15" s="15">
        <v>390</v>
      </c>
      <c r="T15" s="15">
        <v>1</v>
      </c>
      <c r="U15" s="15">
        <v>410</v>
      </c>
      <c r="V15" s="15">
        <v>1300</v>
      </c>
      <c r="W15" s="15">
        <v>10000</v>
      </c>
    </row>
    <row r="16" spans="1:23" x14ac:dyDescent="0.25">
      <c r="A16" s="7" t="s">
        <v>153</v>
      </c>
      <c r="B16" s="7" t="s">
        <v>154</v>
      </c>
      <c r="C16" s="18">
        <v>44889</v>
      </c>
      <c r="D16" s="19">
        <v>0.49861111111111112</v>
      </c>
      <c r="E16" s="7" t="s">
        <v>129</v>
      </c>
      <c r="F16" s="16">
        <v>8.2899999999999991</v>
      </c>
      <c r="G16" s="15">
        <v>9.52</v>
      </c>
      <c r="H16" s="15">
        <v>2800</v>
      </c>
      <c r="I16" s="15">
        <v>530</v>
      </c>
      <c r="J16" s="15">
        <v>1.2</v>
      </c>
      <c r="K16" s="15">
        <v>0.22</v>
      </c>
      <c r="L16" s="17" t="s">
        <v>487</v>
      </c>
      <c r="M16" s="15">
        <v>0.23</v>
      </c>
      <c r="N16" s="15">
        <v>1.2</v>
      </c>
      <c r="O16" s="15">
        <v>7.5</v>
      </c>
      <c r="P16" s="17">
        <v>328.84130599382098</v>
      </c>
      <c r="Q16" s="17">
        <f t="shared" si="0"/>
        <v>400.94392664863562</v>
      </c>
      <c r="R16" s="15">
        <v>1</v>
      </c>
      <c r="S16" s="15">
        <v>38</v>
      </c>
      <c r="T16" s="15">
        <v>0.04</v>
      </c>
      <c r="U16" s="15">
        <v>66</v>
      </c>
      <c r="V16" s="15">
        <v>140</v>
      </c>
      <c r="W16" s="15">
        <v>1800</v>
      </c>
    </row>
    <row r="17" spans="1:23" x14ac:dyDescent="0.25">
      <c r="A17" s="7" t="s">
        <v>155</v>
      </c>
      <c r="B17" s="7" t="s">
        <v>156</v>
      </c>
      <c r="C17" s="18">
        <v>44889</v>
      </c>
      <c r="D17" s="19">
        <v>0.50763888888888886</v>
      </c>
      <c r="E17" s="7" t="s">
        <v>129</v>
      </c>
      <c r="F17" s="16">
        <v>8.2249999999999996</v>
      </c>
      <c r="G17" s="15">
        <v>5.33</v>
      </c>
      <c r="H17" s="15">
        <v>1500</v>
      </c>
      <c r="I17" s="15">
        <v>290</v>
      </c>
      <c r="J17" s="15">
        <v>0.28000000000000003</v>
      </c>
      <c r="K17" s="15">
        <v>0.04</v>
      </c>
      <c r="L17" s="17" t="s">
        <v>487</v>
      </c>
      <c r="M17" s="15">
        <v>0.04</v>
      </c>
      <c r="N17" s="15">
        <v>0.3</v>
      </c>
      <c r="O17" s="15">
        <v>3.7</v>
      </c>
      <c r="P17" s="17">
        <v>264.48814057904661</v>
      </c>
      <c r="Q17" s="17">
        <f t="shared" si="0"/>
        <v>322.48051477374895</v>
      </c>
      <c r="R17" s="15">
        <v>0.57999999999999996</v>
      </c>
      <c r="S17" s="15">
        <v>26</v>
      </c>
      <c r="T17" s="15" t="s">
        <v>486</v>
      </c>
      <c r="U17" s="15">
        <v>34</v>
      </c>
      <c r="V17" s="15">
        <v>95</v>
      </c>
      <c r="W17" s="15">
        <v>950</v>
      </c>
    </row>
    <row r="18" spans="1:23" x14ac:dyDescent="0.25">
      <c r="A18" s="7" t="s">
        <v>157</v>
      </c>
      <c r="B18" s="7" t="s">
        <v>158</v>
      </c>
      <c r="C18" s="18">
        <v>44889</v>
      </c>
      <c r="D18" s="19">
        <v>0.51874999999999993</v>
      </c>
      <c r="E18" s="7" t="s">
        <v>129</v>
      </c>
      <c r="F18" s="16">
        <v>7.7450000000000001</v>
      </c>
      <c r="G18" s="15">
        <v>14.2</v>
      </c>
      <c r="H18" s="15">
        <v>4400</v>
      </c>
      <c r="I18" s="15">
        <v>680</v>
      </c>
      <c r="J18" s="17" t="s">
        <v>485</v>
      </c>
      <c r="K18" s="15">
        <v>1.4999999999999999E-2</v>
      </c>
      <c r="L18" s="15">
        <v>2.6</v>
      </c>
      <c r="M18" s="15">
        <v>0.02</v>
      </c>
      <c r="N18" s="15">
        <v>3.1</v>
      </c>
      <c r="O18" s="15">
        <v>4.8</v>
      </c>
      <c r="P18" s="17">
        <v>260.10808220003054</v>
      </c>
      <c r="Q18" s="17">
        <f t="shared" si="0"/>
        <v>317.14007312781422</v>
      </c>
      <c r="R18" s="15">
        <v>1.2</v>
      </c>
      <c r="S18" s="15">
        <v>150</v>
      </c>
      <c r="T18" s="15" t="s">
        <v>486</v>
      </c>
      <c r="U18" s="15">
        <v>93</v>
      </c>
      <c r="V18" s="15">
        <v>300</v>
      </c>
      <c r="W18" s="15">
        <v>2500</v>
      </c>
    </row>
    <row r="19" spans="1:23" x14ac:dyDescent="0.25">
      <c r="A19" s="7" t="s">
        <v>159</v>
      </c>
      <c r="B19" s="7" t="s">
        <v>160</v>
      </c>
      <c r="C19" s="18">
        <v>44889</v>
      </c>
      <c r="D19" s="19">
        <v>0.55833333333333335</v>
      </c>
      <c r="E19" s="7" t="s">
        <v>129</v>
      </c>
      <c r="F19" s="16">
        <v>7.7350000000000003</v>
      </c>
      <c r="G19" s="15">
        <v>5.78</v>
      </c>
      <c r="H19" s="15">
        <v>1700</v>
      </c>
      <c r="I19" s="15">
        <v>260</v>
      </c>
      <c r="J19" s="17" t="s">
        <v>485</v>
      </c>
      <c r="K19" s="15">
        <v>2.8000000000000001E-2</v>
      </c>
      <c r="L19" s="15">
        <v>9.4</v>
      </c>
      <c r="M19" s="15">
        <v>0.04</v>
      </c>
      <c r="N19" s="15">
        <v>9.6</v>
      </c>
      <c r="O19" s="15">
        <v>1.4</v>
      </c>
      <c r="P19" s="17">
        <v>260.78193733526376</v>
      </c>
      <c r="Q19" s="17">
        <f t="shared" si="0"/>
        <v>317.96167953488111</v>
      </c>
      <c r="R19" s="15">
        <v>0.44</v>
      </c>
      <c r="S19" s="15">
        <v>120</v>
      </c>
      <c r="T19" s="15" t="s">
        <v>486</v>
      </c>
      <c r="U19" s="15">
        <v>36</v>
      </c>
      <c r="V19" s="15">
        <v>110</v>
      </c>
      <c r="W19" s="15">
        <v>940</v>
      </c>
    </row>
    <row r="20" spans="1:23" x14ac:dyDescent="0.25">
      <c r="A20" s="7" t="s">
        <v>161</v>
      </c>
      <c r="B20" s="7" t="s">
        <v>162</v>
      </c>
      <c r="C20" s="18">
        <v>44889</v>
      </c>
      <c r="D20" s="19">
        <v>0.57222222222222219</v>
      </c>
      <c r="E20" s="7" t="s">
        <v>129</v>
      </c>
      <c r="F20" s="16">
        <v>7.7</v>
      </c>
      <c r="G20" s="15">
        <v>14.9</v>
      </c>
      <c r="H20" s="15">
        <v>4800</v>
      </c>
      <c r="I20" s="15">
        <v>690</v>
      </c>
      <c r="J20" s="17" t="s">
        <v>485</v>
      </c>
      <c r="K20" s="15">
        <v>1.7999999999999999E-2</v>
      </c>
      <c r="L20" s="15">
        <v>4.8</v>
      </c>
      <c r="M20" s="15">
        <v>0.02</v>
      </c>
      <c r="N20" s="15">
        <v>5</v>
      </c>
      <c r="O20" s="15">
        <v>1.2</v>
      </c>
      <c r="P20" s="17">
        <v>234.83851462878403</v>
      </c>
      <c r="Q20" s="17">
        <f t="shared" si="0"/>
        <v>286.32983286280637</v>
      </c>
      <c r="R20" s="15">
        <v>1.1000000000000001</v>
      </c>
      <c r="S20" s="15">
        <v>190</v>
      </c>
      <c r="T20" s="15" t="s">
        <v>486</v>
      </c>
      <c r="U20" s="15">
        <v>95</v>
      </c>
      <c r="V20" s="15">
        <v>320</v>
      </c>
      <c r="W20" s="15">
        <v>2600</v>
      </c>
    </row>
    <row r="21" spans="1:23" x14ac:dyDescent="0.25">
      <c r="A21" s="7" t="s">
        <v>164</v>
      </c>
      <c r="B21" s="7" t="s">
        <v>165</v>
      </c>
      <c r="C21" s="18">
        <v>44889</v>
      </c>
      <c r="D21" s="19">
        <v>0.59583333333333333</v>
      </c>
      <c r="E21" s="7" t="s">
        <v>129</v>
      </c>
      <c r="F21" s="16">
        <v>7.8049999999999997</v>
      </c>
      <c r="G21" s="15">
        <v>52.7</v>
      </c>
      <c r="H21" s="15">
        <v>20000</v>
      </c>
      <c r="I21" s="15">
        <v>2600</v>
      </c>
      <c r="J21" s="15">
        <v>0.34</v>
      </c>
      <c r="K21" s="15">
        <v>0.11</v>
      </c>
      <c r="L21" s="15">
        <v>1.2999999999999999E-2</v>
      </c>
      <c r="M21" s="15">
        <v>0.11</v>
      </c>
      <c r="N21" s="15">
        <v>0.6</v>
      </c>
      <c r="O21" s="15">
        <v>1.3</v>
      </c>
      <c r="P21" s="17">
        <v>152.29126056271218</v>
      </c>
      <c r="Q21" s="17">
        <f t="shared" si="0"/>
        <v>185.68304799711402</v>
      </c>
      <c r="R21" s="15">
        <v>4.9000000000000004</v>
      </c>
      <c r="S21" s="15">
        <v>400</v>
      </c>
      <c r="T21" s="15">
        <v>0.02</v>
      </c>
      <c r="U21" s="15">
        <v>420</v>
      </c>
      <c r="V21" s="15">
        <v>1300</v>
      </c>
      <c r="W21" s="15">
        <v>11000</v>
      </c>
    </row>
    <row r="22" spans="1:23" x14ac:dyDescent="0.25">
      <c r="A22" s="20" t="s">
        <v>164</v>
      </c>
      <c r="B22" s="20" t="s">
        <v>166</v>
      </c>
      <c r="C22" s="18">
        <v>44889</v>
      </c>
      <c r="D22" s="19">
        <v>0.59652777777777777</v>
      </c>
      <c r="E22" s="7" t="s">
        <v>129</v>
      </c>
      <c r="F22" s="16">
        <v>7.8</v>
      </c>
      <c r="G22" s="15">
        <v>52.7</v>
      </c>
      <c r="H22" s="15">
        <v>21000</v>
      </c>
      <c r="I22" s="15">
        <v>2700</v>
      </c>
      <c r="J22" s="15">
        <v>0.33</v>
      </c>
      <c r="K22" s="15">
        <v>0.11</v>
      </c>
      <c r="L22" s="17" t="s">
        <v>487</v>
      </c>
      <c r="M22" s="15">
        <v>0.12</v>
      </c>
      <c r="N22" s="15">
        <v>0.5</v>
      </c>
      <c r="O22" s="15">
        <v>3.4</v>
      </c>
      <c r="P22" s="17">
        <v>132.74946164094823</v>
      </c>
      <c r="Q22" s="17">
        <f t="shared" si="0"/>
        <v>161.8564621921746</v>
      </c>
      <c r="R22" s="15">
        <v>4.9000000000000004</v>
      </c>
      <c r="S22" s="15">
        <v>400</v>
      </c>
      <c r="T22" s="15">
        <v>0.02</v>
      </c>
      <c r="U22" s="15">
        <v>430</v>
      </c>
      <c r="V22" s="15">
        <v>1300</v>
      </c>
      <c r="W22" s="15">
        <v>11000</v>
      </c>
    </row>
    <row r="23" spans="1:23" x14ac:dyDescent="0.25">
      <c r="A23" s="7" t="s">
        <v>169</v>
      </c>
      <c r="B23" s="7" t="s">
        <v>170</v>
      </c>
      <c r="C23" s="18">
        <v>44889</v>
      </c>
      <c r="D23" s="19">
        <v>0.61458333333333337</v>
      </c>
      <c r="E23" s="7" t="s">
        <v>129</v>
      </c>
      <c r="F23" s="16">
        <v>7.86</v>
      </c>
      <c r="G23" s="15">
        <v>52.5</v>
      </c>
      <c r="H23" s="15">
        <v>20000</v>
      </c>
      <c r="I23" s="15">
        <v>2600</v>
      </c>
      <c r="J23" s="15">
        <v>8.4000000000000005E-2</v>
      </c>
      <c r="K23" s="15">
        <v>0.15</v>
      </c>
      <c r="L23" s="15">
        <v>8.9999999999999993E-3</v>
      </c>
      <c r="M23" s="15">
        <v>0.15</v>
      </c>
      <c r="N23" s="15">
        <v>0.4</v>
      </c>
      <c r="O23" s="15">
        <v>2.8</v>
      </c>
      <c r="P23" s="17">
        <v>154.31282596841189</v>
      </c>
      <c r="Q23" s="17">
        <f t="shared" si="0"/>
        <v>188.14786721831467</v>
      </c>
      <c r="R23" s="15">
        <v>5</v>
      </c>
      <c r="S23" s="15">
        <v>410</v>
      </c>
      <c r="T23" s="15">
        <v>0.17</v>
      </c>
      <c r="U23" s="15">
        <v>430</v>
      </c>
      <c r="V23" s="15">
        <v>1300</v>
      </c>
      <c r="W23" s="15">
        <v>11000</v>
      </c>
    </row>
    <row r="24" spans="1:23" x14ac:dyDescent="0.25">
      <c r="A24" s="20" t="s">
        <v>169</v>
      </c>
      <c r="B24" s="20" t="s">
        <v>171</v>
      </c>
      <c r="C24" s="18">
        <v>44889</v>
      </c>
      <c r="D24" s="19">
        <v>0.62013888888888891</v>
      </c>
      <c r="E24" s="7" t="s">
        <v>172</v>
      </c>
      <c r="F24" s="16">
        <v>8.25</v>
      </c>
      <c r="G24" s="15">
        <v>53.7</v>
      </c>
      <c r="H24" s="15">
        <v>20000</v>
      </c>
      <c r="I24" s="15">
        <v>2600</v>
      </c>
      <c r="J24" s="17" t="s">
        <v>485</v>
      </c>
      <c r="K24" s="15">
        <v>8.0000000000000002E-3</v>
      </c>
      <c r="L24" s="15">
        <v>0.01</v>
      </c>
      <c r="M24" s="15">
        <v>0.01</v>
      </c>
      <c r="N24" s="15">
        <v>0.2</v>
      </c>
      <c r="O24" s="15">
        <v>1.3</v>
      </c>
      <c r="P24" s="17">
        <v>118.93543136866681</v>
      </c>
      <c r="Q24" s="17">
        <f t="shared" si="0"/>
        <v>145.01353084730366</v>
      </c>
      <c r="R24" s="15">
        <v>5.0999999999999996</v>
      </c>
      <c r="S24" s="15">
        <v>410</v>
      </c>
      <c r="T24" s="15" t="s">
        <v>486</v>
      </c>
      <c r="U24" s="15">
        <v>440</v>
      </c>
      <c r="V24" s="15">
        <v>1400</v>
      </c>
      <c r="W24" s="15">
        <v>11000</v>
      </c>
    </row>
    <row r="25" spans="1:23" x14ac:dyDescent="0.25">
      <c r="A25" s="7" t="s">
        <v>174</v>
      </c>
      <c r="B25" s="7" t="s">
        <v>175</v>
      </c>
      <c r="C25" s="18">
        <v>44894</v>
      </c>
      <c r="D25" s="19">
        <v>0.35625000000000001</v>
      </c>
      <c r="E25" s="7" t="s">
        <v>129</v>
      </c>
      <c r="F25" s="16">
        <v>7.7149999999999999</v>
      </c>
      <c r="G25" s="15">
        <v>53.6</v>
      </c>
      <c r="H25" s="15">
        <v>21000</v>
      </c>
      <c r="I25" s="15">
        <v>2600</v>
      </c>
      <c r="J25" s="15">
        <v>0.36</v>
      </c>
      <c r="K25" s="15">
        <v>8.1000000000000003E-2</v>
      </c>
      <c r="L25" s="17" t="s">
        <v>487</v>
      </c>
      <c r="M25" s="15">
        <v>0.09</v>
      </c>
      <c r="N25" s="15">
        <v>0.8</v>
      </c>
      <c r="O25" s="15">
        <v>3</v>
      </c>
      <c r="P25" s="17">
        <v>135.10795461426457</v>
      </c>
      <c r="Q25" s="17">
        <f t="shared" si="0"/>
        <v>164.73208461690871</v>
      </c>
      <c r="R25" s="15">
        <v>5.3</v>
      </c>
      <c r="S25" s="15">
        <v>430</v>
      </c>
      <c r="T25" s="15">
        <v>0.02</v>
      </c>
      <c r="U25" s="15">
        <v>450</v>
      </c>
      <c r="V25" s="15">
        <v>1400</v>
      </c>
      <c r="W25" s="15">
        <v>11000</v>
      </c>
    </row>
    <row r="26" spans="1:23" x14ac:dyDescent="0.25">
      <c r="A26" s="7" t="s">
        <v>176</v>
      </c>
      <c r="B26" s="7" t="s">
        <v>177</v>
      </c>
      <c r="C26" s="18">
        <v>44894</v>
      </c>
      <c r="D26" s="19">
        <v>0.3923611111111111</v>
      </c>
      <c r="E26" s="7" t="s">
        <v>129</v>
      </c>
      <c r="F26" s="16">
        <v>7.77</v>
      </c>
      <c r="G26" s="15">
        <v>52.6</v>
      </c>
      <c r="H26" s="15">
        <v>20000</v>
      </c>
      <c r="I26" s="15">
        <v>2600</v>
      </c>
      <c r="J26" s="15">
        <v>0.32</v>
      </c>
      <c r="K26" s="15">
        <v>9.4E-2</v>
      </c>
      <c r="L26" s="15">
        <v>0.01</v>
      </c>
      <c r="M26" s="15">
        <v>0.11</v>
      </c>
      <c r="N26" s="15">
        <v>0.7</v>
      </c>
      <c r="O26" s="15">
        <v>4</v>
      </c>
      <c r="P26" s="17">
        <v>134.43409947903132</v>
      </c>
      <c r="Q26" s="17">
        <f t="shared" si="0"/>
        <v>163.91047820984181</v>
      </c>
      <c r="R26" s="15">
        <v>5.0999999999999996</v>
      </c>
      <c r="S26" s="15">
        <v>400</v>
      </c>
      <c r="T26" s="15">
        <v>0.02</v>
      </c>
      <c r="U26" s="15">
        <v>430</v>
      </c>
      <c r="V26" s="15">
        <v>1300</v>
      </c>
      <c r="W26" s="15">
        <v>11000</v>
      </c>
    </row>
    <row r="27" spans="1:23" x14ac:dyDescent="0.25">
      <c r="A27" s="7" t="s">
        <v>178</v>
      </c>
      <c r="B27" s="7" t="s">
        <v>179</v>
      </c>
      <c r="C27" s="18">
        <v>44894</v>
      </c>
      <c r="D27" s="19">
        <v>0.40625</v>
      </c>
      <c r="E27" s="7" t="s">
        <v>129</v>
      </c>
      <c r="F27" s="16">
        <v>7.5449999999999999</v>
      </c>
      <c r="G27" s="16">
        <v>53</v>
      </c>
      <c r="H27" s="15">
        <v>20000</v>
      </c>
      <c r="I27" s="15">
        <v>2600</v>
      </c>
      <c r="J27" s="15">
        <v>2</v>
      </c>
      <c r="K27" s="15">
        <v>0.22</v>
      </c>
      <c r="L27" s="17" t="s">
        <v>487</v>
      </c>
      <c r="M27" s="15">
        <v>0.22</v>
      </c>
      <c r="N27" s="15">
        <v>2.4</v>
      </c>
      <c r="O27" s="15">
        <v>2.2000000000000002</v>
      </c>
      <c r="P27" s="17">
        <v>228.4368908440683</v>
      </c>
      <c r="Q27" s="17">
        <f t="shared" si="0"/>
        <v>278.52457199567112</v>
      </c>
      <c r="R27" s="15">
        <v>4.5999999999999996</v>
      </c>
      <c r="S27" s="15">
        <v>430</v>
      </c>
      <c r="T27" s="15">
        <v>0.02</v>
      </c>
      <c r="U27" s="15">
        <v>430</v>
      </c>
      <c r="V27" s="15">
        <v>1300</v>
      </c>
      <c r="W27" s="15">
        <v>11000</v>
      </c>
    </row>
    <row r="28" spans="1:23" x14ac:dyDescent="0.25">
      <c r="A28" s="7" t="s">
        <v>180</v>
      </c>
      <c r="B28" s="7" t="s">
        <v>181</v>
      </c>
      <c r="C28" s="18">
        <v>44894</v>
      </c>
      <c r="D28" s="19">
        <v>0.41319444444444442</v>
      </c>
      <c r="E28" s="7" t="s">
        <v>129</v>
      </c>
      <c r="F28" s="16">
        <v>7.7</v>
      </c>
      <c r="G28" s="15">
        <v>52.9</v>
      </c>
      <c r="H28" s="15">
        <v>20000</v>
      </c>
      <c r="I28" s="15">
        <v>2600</v>
      </c>
      <c r="J28" s="15">
        <v>0.34</v>
      </c>
      <c r="K28" s="15">
        <v>0.16</v>
      </c>
      <c r="L28" s="15">
        <v>2.1000000000000001E-2</v>
      </c>
      <c r="M28" s="15">
        <v>0.17</v>
      </c>
      <c r="N28" s="15">
        <v>0.8</v>
      </c>
      <c r="O28" s="15">
        <v>2.9</v>
      </c>
      <c r="P28" s="17">
        <v>149.25891245416264</v>
      </c>
      <c r="Q28" s="17">
        <f t="shared" si="0"/>
        <v>181.98581916531313</v>
      </c>
      <c r="R28" s="15">
        <v>4.9000000000000004</v>
      </c>
      <c r="S28" s="15">
        <v>420</v>
      </c>
      <c r="T28" s="15">
        <v>0.02</v>
      </c>
      <c r="U28" s="15">
        <v>430</v>
      </c>
      <c r="V28" s="15">
        <v>1300</v>
      </c>
      <c r="W28" s="15">
        <v>11000</v>
      </c>
    </row>
    <row r="29" spans="1:23" x14ac:dyDescent="0.25">
      <c r="A29" s="7" t="s">
        <v>182</v>
      </c>
      <c r="B29" s="7" t="s">
        <v>183</v>
      </c>
      <c r="C29" s="18">
        <v>44894</v>
      </c>
      <c r="D29" s="19">
        <v>0.4291666666666667</v>
      </c>
      <c r="E29" s="7" t="s">
        <v>129</v>
      </c>
      <c r="F29" s="16">
        <v>7.4249999999999998</v>
      </c>
      <c r="G29" s="15">
        <v>45.6</v>
      </c>
      <c r="H29" s="15">
        <v>20000</v>
      </c>
      <c r="I29" s="15">
        <v>2400</v>
      </c>
      <c r="J29" s="15">
        <v>2</v>
      </c>
      <c r="K29" s="15">
        <v>0.2</v>
      </c>
      <c r="L29" s="17" t="s">
        <v>487</v>
      </c>
      <c r="M29" s="15">
        <v>0.21</v>
      </c>
      <c r="N29" s="15">
        <v>2.6</v>
      </c>
      <c r="O29" s="15">
        <v>3.1</v>
      </c>
      <c r="P29" s="17">
        <v>325.4720303176548</v>
      </c>
      <c r="Q29" s="17">
        <f t="shared" si="0"/>
        <v>396.83589461330121</v>
      </c>
      <c r="R29" s="15">
        <v>4.5</v>
      </c>
      <c r="S29" s="15">
        <v>460</v>
      </c>
      <c r="T29" s="15">
        <v>0.03</v>
      </c>
      <c r="U29" s="15">
        <v>430</v>
      </c>
      <c r="V29" s="15">
        <v>1300</v>
      </c>
      <c r="W29" s="15">
        <v>11000</v>
      </c>
    </row>
    <row r="30" spans="1:23" x14ac:dyDescent="0.25">
      <c r="A30" s="7" t="s">
        <v>184</v>
      </c>
      <c r="B30" s="7" t="s">
        <v>185</v>
      </c>
      <c r="C30" s="18">
        <v>44894</v>
      </c>
      <c r="D30" s="19">
        <v>0.4375</v>
      </c>
      <c r="E30" s="7" t="s">
        <v>129</v>
      </c>
      <c r="F30" s="16">
        <v>7.81</v>
      </c>
      <c r="G30" s="15">
        <v>51.4</v>
      </c>
      <c r="H30" s="15">
        <v>19000</v>
      </c>
      <c r="I30" s="15">
        <v>2500</v>
      </c>
      <c r="J30" s="15">
        <v>0.39</v>
      </c>
      <c r="K30" s="15">
        <v>0.14000000000000001</v>
      </c>
      <c r="L30" s="15">
        <v>1.4E-2</v>
      </c>
      <c r="M30" s="15">
        <v>0.15</v>
      </c>
      <c r="N30" s="15">
        <v>0.9</v>
      </c>
      <c r="O30" s="15">
        <v>1.3</v>
      </c>
      <c r="P30" s="17">
        <v>159.0298119150446</v>
      </c>
      <c r="Q30" s="17">
        <f t="shared" si="0"/>
        <v>193.89911206778282</v>
      </c>
      <c r="R30" s="15">
        <v>4.5</v>
      </c>
      <c r="S30" s="15">
        <v>400</v>
      </c>
      <c r="T30" s="15">
        <v>0.03</v>
      </c>
      <c r="U30" s="15">
        <v>420</v>
      </c>
      <c r="V30" s="15">
        <v>1300</v>
      </c>
      <c r="W30" s="15">
        <v>10000</v>
      </c>
    </row>
    <row r="31" spans="1:23" x14ac:dyDescent="0.25">
      <c r="A31" s="7" t="s">
        <v>186</v>
      </c>
      <c r="B31" s="7" t="s">
        <v>187</v>
      </c>
      <c r="C31" s="18">
        <v>44894</v>
      </c>
      <c r="D31" s="19">
        <v>0.44930555555555557</v>
      </c>
      <c r="E31" s="7" t="s">
        <v>129</v>
      </c>
      <c r="F31" s="16">
        <v>7.7850000000000001</v>
      </c>
      <c r="G31" s="15">
        <v>51.5</v>
      </c>
      <c r="H31" s="15">
        <v>20000</v>
      </c>
      <c r="I31" s="15">
        <v>2500</v>
      </c>
      <c r="J31" s="15">
        <v>0.66</v>
      </c>
      <c r="K31" s="15">
        <v>7.8E-2</v>
      </c>
      <c r="L31" s="17" t="s">
        <v>487</v>
      </c>
      <c r="M31" s="15">
        <v>0.09</v>
      </c>
      <c r="N31" s="15">
        <v>0.8</v>
      </c>
      <c r="O31" s="15">
        <v>2</v>
      </c>
      <c r="P31" s="17">
        <v>157.68210164457807</v>
      </c>
      <c r="Q31" s="17">
        <f t="shared" si="0"/>
        <v>192.25589925364901</v>
      </c>
      <c r="R31" s="15">
        <v>4.7</v>
      </c>
      <c r="S31" s="15">
        <v>400</v>
      </c>
      <c r="T31" s="15">
        <v>0.03</v>
      </c>
      <c r="U31" s="15">
        <v>420</v>
      </c>
      <c r="V31" s="15">
        <v>1300</v>
      </c>
      <c r="W31" s="15">
        <v>10000</v>
      </c>
    </row>
    <row r="32" spans="1:23" x14ac:dyDescent="0.25">
      <c r="A32" s="7" t="s">
        <v>188</v>
      </c>
      <c r="B32" s="7" t="s">
        <v>189</v>
      </c>
      <c r="C32" s="18">
        <v>44894</v>
      </c>
      <c r="D32" s="19">
        <v>0.46111111111111108</v>
      </c>
      <c r="E32" s="7" t="s">
        <v>129</v>
      </c>
      <c r="F32" s="16">
        <v>7.55</v>
      </c>
      <c r="G32" s="15">
        <v>17.8</v>
      </c>
      <c r="H32" s="15">
        <v>6000</v>
      </c>
      <c r="I32" s="15">
        <v>630</v>
      </c>
      <c r="J32" s="15">
        <v>2.5</v>
      </c>
      <c r="K32" s="15">
        <v>0.14000000000000001</v>
      </c>
      <c r="L32" s="17" t="s">
        <v>487</v>
      </c>
      <c r="M32" s="15">
        <v>0.15</v>
      </c>
      <c r="N32" s="15">
        <v>2.8</v>
      </c>
      <c r="O32" s="15">
        <v>3.1</v>
      </c>
      <c r="P32" s="17">
        <v>328.84130599382104</v>
      </c>
      <c r="Q32" s="17">
        <f t="shared" si="0"/>
        <v>400.94392664863568</v>
      </c>
      <c r="R32" s="15">
        <v>1.1000000000000001</v>
      </c>
      <c r="S32" s="15">
        <v>220</v>
      </c>
      <c r="T32" s="15">
        <v>0.02</v>
      </c>
      <c r="U32" s="15">
        <v>95</v>
      </c>
      <c r="V32" s="15">
        <v>420</v>
      </c>
      <c r="W32" s="15">
        <v>3100</v>
      </c>
    </row>
    <row r="33" spans="1:23" x14ac:dyDescent="0.25">
      <c r="A33" s="7" t="s">
        <v>190</v>
      </c>
      <c r="B33" s="7" t="s">
        <v>191</v>
      </c>
      <c r="C33" s="18">
        <v>44894</v>
      </c>
      <c r="D33" s="19">
        <v>0.47013888888888888</v>
      </c>
      <c r="E33" s="7" t="s">
        <v>129</v>
      </c>
      <c r="F33" s="16">
        <v>7.82</v>
      </c>
      <c r="G33" s="15">
        <v>52.9</v>
      </c>
      <c r="H33" s="15">
        <v>20000</v>
      </c>
      <c r="I33" s="15">
        <v>2700</v>
      </c>
      <c r="J33" s="15">
        <v>0.12</v>
      </c>
      <c r="K33" s="15">
        <v>8.2000000000000003E-2</v>
      </c>
      <c r="L33" s="17" t="s">
        <v>487</v>
      </c>
      <c r="M33" s="15">
        <v>0.09</v>
      </c>
      <c r="N33" s="15">
        <v>0.2</v>
      </c>
      <c r="O33" s="15">
        <v>1.6</v>
      </c>
      <c r="P33" s="17">
        <v>129.0432583971654</v>
      </c>
      <c r="Q33" s="17">
        <f t="shared" si="0"/>
        <v>157.3376269533068</v>
      </c>
      <c r="R33" s="15">
        <v>5</v>
      </c>
      <c r="S33" s="15">
        <v>400</v>
      </c>
      <c r="T33" s="15">
        <v>0.15</v>
      </c>
      <c r="U33" s="15">
        <v>430</v>
      </c>
      <c r="V33" s="15">
        <v>1300</v>
      </c>
      <c r="W33" s="15">
        <v>11000</v>
      </c>
    </row>
    <row r="34" spans="1:23" x14ac:dyDescent="0.25">
      <c r="A34" s="7" t="s">
        <v>192</v>
      </c>
      <c r="B34" s="7" t="s">
        <v>193</v>
      </c>
      <c r="C34" s="18">
        <v>44894</v>
      </c>
      <c r="D34" s="19">
        <v>0.47847222222222219</v>
      </c>
      <c r="E34" s="7" t="s">
        <v>129</v>
      </c>
      <c r="F34" s="16">
        <v>7.71</v>
      </c>
      <c r="G34" s="15">
        <v>54.3</v>
      </c>
      <c r="H34" s="15">
        <v>23000</v>
      </c>
      <c r="I34" s="15">
        <v>3000</v>
      </c>
      <c r="J34" s="15">
        <v>0.19</v>
      </c>
      <c r="K34" s="15">
        <v>6.7000000000000004E-2</v>
      </c>
      <c r="L34" s="15">
        <v>1.2E-2</v>
      </c>
      <c r="M34" s="15">
        <v>7.0000000000000007E-2</v>
      </c>
      <c r="N34" s="15">
        <v>0.5</v>
      </c>
      <c r="O34" s="15">
        <v>1.5</v>
      </c>
      <c r="P34" s="17">
        <v>154.98668110364511</v>
      </c>
      <c r="Q34" s="17">
        <f t="shared" si="0"/>
        <v>188.96947362538151</v>
      </c>
      <c r="R34" s="15">
        <v>4.3</v>
      </c>
      <c r="S34" s="15">
        <v>430</v>
      </c>
      <c r="T34" s="15">
        <v>0.02</v>
      </c>
      <c r="U34" s="15">
        <v>440</v>
      </c>
      <c r="V34" s="15">
        <v>1400</v>
      </c>
      <c r="W34" s="15">
        <v>11000</v>
      </c>
    </row>
    <row r="35" spans="1:23" x14ac:dyDescent="0.25">
      <c r="A35" s="7" t="s">
        <v>194</v>
      </c>
      <c r="B35" s="7" t="s">
        <v>195</v>
      </c>
      <c r="C35" s="18">
        <v>44894</v>
      </c>
      <c r="D35" s="19">
        <v>0.49236111111111108</v>
      </c>
      <c r="E35" s="7" t="s">
        <v>129</v>
      </c>
      <c r="F35" s="16">
        <v>7.65</v>
      </c>
      <c r="G35" s="15">
        <v>35.1</v>
      </c>
      <c r="H35" s="15">
        <v>13000</v>
      </c>
      <c r="I35" s="15">
        <v>1700</v>
      </c>
      <c r="J35" s="15">
        <v>0.17</v>
      </c>
      <c r="K35" s="15">
        <v>6.5000000000000002E-2</v>
      </c>
      <c r="L35" s="15">
        <v>0.4</v>
      </c>
      <c r="M35" s="15">
        <v>7.0000000000000007E-2</v>
      </c>
      <c r="N35" s="15">
        <v>0.6</v>
      </c>
      <c r="O35" s="15">
        <v>2.8</v>
      </c>
      <c r="P35" s="17">
        <v>234.16465949355083</v>
      </c>
      <c r="Q35" s="17">
        <f t="shared" si="0"/>
        <v>285.50822645573953</v>
      </c>
      <c r="R35" s="15">
        <v>2.2999999999999998</v>
      </c>
      <c r="S35" s="15">
        <v>330</v>
      </c>
      <c r="T35" s="15">
        <v>0.01</v>
      </c>
      <c r="U35" s="15">
        <v>260</v>
      </c>
      <c r="V35" s="15">
        <v>840</v>
      </c>
      <c r="W35" s="15">
        <v>6900</v>
      </c>
    </row>
    <row r="36" spans="1:23" x14ac:dyDescent="0.25">
      <c r="A36" s="7" t="s">
        <v>196</v>
      </c>
      <c r="B36" s="7" t="s">
        <v>197</v>
      </c>
      <c r="C36" s="18">
        <v>44894</v>
      </c>
      <c r="D36" s="19">
        <v>0.5</v>
      </c>
      <c r="E36" s="7" t="s">
        <v>129</v>
      </c>
      <c r="F36" s="16">
        <v>7.76</v>
      </c>
      <c r="G36" s="15">
        <v>40.200000000000003</v>
      </c>
      <c r="H36" s="15">
        <v>14000</v>
      </c>
      <c r="I36" s="15">
        <v>2000</v>
      </c>
      <c r="J36" s="17" t="s">
        <v>485</v>
      </c>
      <c r="K36" s="15">
        <v>5.3999999999999999E-2</v>
      </c>
      <c r="L36" s="15">
        <v>0.44</v>
      </c>
      <c r="M36" s="15">
        <v>0.06</v>
      </c>
      <c r="N36" s="15">
        <v>0.7</v>
      </c>
      <c r="O36" s="15">
        <v>1.2</v>
      </c>
      <c r="P36" s="17">
        <v>161.72523245597753</v>
      </c>
      <c r="Q36" s="17">
        <f t="shared" si="0"/>
        <v>197.18553769605029</v>
      </c>
      <c r="R36" s="15">
        <v>4.2</v>
      </c>
      <c r="S36" s="15">
        <v>300</v>
      </c>
      <c r="T36" s="15">
        <v>0.01</v>
      </c>
      <c r="U36" s="15">
        <v>320</v>
      </c>
      <c r="V36" s="15">
        <v>970</v>
      </c>
      <c r="W36" s="15">
        <v>7900</v>
      </c>
    </row>
    <row r="37" spans="1:23" x14ac:dyDescent="0.25">
      <c r="A37" s="7" t="s">
        <v>198</v>
      </c>
      <c r="B37" s="7" t="s">
        <v>199</v>
      </c>
      <c r="C37" s="18">
        <v>44894</v>
      </c>
      <c r="D37" s="19">
        <v>0.52430555555555558</v>
      </c>
      <c r="E37" s="7" t="s">
        <v>129</v>
      </c>
      <c r="F37" s="16">
        <v>7.7</v>
      </c>
      <c r="G37" s="15">
        <v>39.299999999999997</v>
      </c>
      <c r="H37" s="15">
        <v>14000</v>
      </c>
      <c r="I37" s="15">
        <v>1800</v>
      </c>
      <c r="J37" s="15">
        <v>0.19</v>
      </c>
      <c r="K37" s="15">
        <v>7.9000000000000001E-2</v>
      </c>
      <c r="L37" s="17" t="s">
        <v>487</v>
      </c>
      <c r="M37" s="15">
        <v>0.08</v>
      </c>
      <c r="N37" s="15">
        <v>0.3</v>
      </c>
      <c r="O37" s="15">
        <v>3.1</v>
      </c>
      <c r="P37" s="17">
        <v>197.10262705572259</v>
      </c>
      <c r="Q37" s="17">
        <f t="shared" si="0"/>
        <v>240.31987406706128</v>
      </c>
      <c r="R37" s="15">
        <v>3.2</v>
      </c>
      <c r="S37" s="15">
        <v>310</v>
      </c>
      <c r="T37" s="15">
        <v>0.04</v>
      </c>
      <c r="U37" s="15">
        <v>310</v>
      </c>
      <c r="V37" s="15">
        <v>960</v>
      </c>
      <c r="W37" s="15">
        <v>7900</v>
      </c>
    </row>
    <row r="38" spans="1:23" x14ac:dyDescent="0.25">
      <c r="A38" s="7" t="s">
        <v>200</v>
      </c>
      <c r="B38" s="7" t="s">
        <v>201</v>
      </c>
      <c r="C38" s="18">
        <v>44894</v>
      </c>
      <c r="D38" s="19">
        <v>0.53680555555555554</v>
      </c>
      <c r="E38" s="7" t="s">
        <v>129</v>
      </c>
      <c r="F38" s="16">
        <v>7.8550000000000004</v>
      </c>
      <c r="G38" s="16">
        <v>32</v>
      </c>
      <c r="H38" s="15">
        <v>11000</v>
      </c>
      <c r="I38" s="15">
        <v>1600</v>
      </c>
      <c r="J38" s="15">
        <v>0.27</v>
      </c>
      <c r="K38" s="15">
        <v>6.4000000000000001E-2</v>
      </c>
      <c r="L38" s="17" t="s">
        <v>487</v>
      </c>
      <c r="M38" s="15">
        <v>7.0000000000000007E-2</v>
      </c>
      <c r="N38" s="15">
        <v>0.3</v>
      </c>
      <c r="O38" s="15">
        <v>2.9</v>
      </c>
      <c r="P38" s="17">
        <v>191.37485840624007</v>
      </c>
      <c r="Q38" s="17">
        <f t="shared" si="0"/>
        <v>233.33621960699281</v>
      </c>
      <c r="R38" s="15">
        <v>3.5</v>
      </c>
      <c r="S38" s="15">
        <v>250</v>
      </c>
      <c r="T38" s="15">
        <v>0.06</v>
      </c>
      <c r="U38" s="15">
        <v>240</v>
      </c>
      <c r="V38" s="15">
        <v>760</v>
      </c>
      <c r="W38" s="15">
        <v>6200</v>
      </c>
    </row>
    <row r="39" spans="1:23" x14ac:dyDescent="0.25">
      <c r="A39" s="7" t="s">
        <v>202</v>
      </c>
      <c r="B39" s="7" t="s">
        <v>203</v>
      </c>
      <c r="C39" s="18">
        <v>44894</v>
      </c>
      <c r="D39" s="19">
        <v>0.54652777777777783</v>
      </c>
      <c r="E39" s="7" t="s">
        <v>129</v>
      </c>
      <c r="F39" s="16">
        <v>7.83</v>
      </c>
      <c r="G39" s="15">
        <v>36.1</v>
      </c>
      <c r="H39" s="15">
        <v>13000</v>
      </c>
      <c r="I39" s="15">
        <v>1800</v>
      </c>
      <c r="J39" s="17" t="s">
        <v>485</v>
      </c>
      <c r="K39" s="15">
        <v>4.2999999999999997E-2</v>
      </c>
      <c r="L39" s="15">
        <v>0.54</v>
      </c>
      <c r="M39" s="15">
        <v>0.05</v>
      </c>
      <c r="N39" s="15">
        <v>0.9</v>
      </c>
      <c r="O39" s="15">
        <v>2.2999999999999998</v>
      </c>
      <c r="P39" s="17">
        <v>162.67335822722822</v>
      </c>
      <c r="Q39" s="17">
        <f t="shared" si="0"/>
        <v>198.34155204933583</v>
      </c>
      <c r="R39" s="15">
        <v>3.7</v>
      </c>
      <c r="S39" s="15">
        <v>280</v>
      </c>
      <c r="T39" s="15" t="s">
        <v>486</v>
      </c>
      <c r="U39" s="15">
        <v>280</v>
      </c>
      <c r="V39" s="15">
        <v>880</v>
      </c>
      <c r="W39" s="15">
        <v>7100</v>
      </c>
    </row>
    <row r="40" spans="1:23" x14ac:dyDescent="0.25">
      <c r="A40" s="7" t="s">
        <v>204</v>
      </c>
      <c r="B40" s="7" t="s">
        <v>205</v>
      </c>
      <c r="C40" s="18">
        <v>44894</v>
      </c>
      <c r="D40" s="19">
        <v>0.55486111111111114</v>
      </c>
      <c r="E40" s="7" t="s">
        <v>129</v>
      </c>
      <c r="F40" s="16">
        <v>7.91</v>
      </c>
      <c r="G40" s="15">
        <v>29.3</v>
      </c>
      <c r="H40" s="15">
        <v>10000</v>
      </c>
      <c r="I40" s="15">
        <v>1500</v>
      </c>
      <c r="J40" s="17" t="s">
        <v>485</v>
      </c>
      <c r="K40" s="15">
        <v>6.8000000000000005E-2</v>
      </c>
      <c r="L40" s="15">
        <v>1.1000000000000001</v>
      </c>
      <c r="M40" s="15">
        <v>7.0000000000000007E-2</v>
      </c>
      <c r="N40" s="15">
        <v>1.1000000000000001</v>
      </c>
      <c r="O40" s="15">
        <v>2.4</v>
      </c>
      <c r="P40" s="17">
        <v>162.67335822722822</v>
      </c>
      <c r="Q40" s="17">
        <f t="shared" si="0"/>
        <v>198.34155204933583</v>
      </c>
      <c r="R40" s="15">
        <v>3.4</v>
      </c>
      <c r="S40" s="15">
        <v>230</v>
      </c>
      <c r="T40" s="15" t="s">
        <v>486</v>
      </c>
      <c r="U40" s="15">
        <v>220</v>
      </c>
      <c r="V40" s="15">
        <v>730</v>
      </c>
      <c r="W40" s="15">
        <v>5700</v>
      </c>
    </row>
    <row r="41" spans="1:23" x14ac:dyDescent="0.25">
      <c r="A41" s="7" t="s">
        <v>206</v>
      </c>
      <c r="B41" s="7" t="s">
        <v>207</v>
      </c>
      <c r="C41" s="18">
        <v>44894</v>
      </c>
      <c r="D41" s="19">
        <v>0.56527777777777777</v>
      </c>
      <c r="E41" s="7" t="s">
        <v>129</v>
      </c>
      <c r="F41" s="16">
        <v>7.8250000000000002</v>
      </c>
      <c r="G41" s="15">
        <v>39.799999999999997</v>
      </c>
      <c r="H41" s="15">
        <v>14000</v>
      </c>
      <c r="I41" s="15">
        <v>1800</v>
      </c>
      <c r="J41" s="17" t="s">
        <v>485</v>
      </c>
      <c r="K41" s="15">
        <v>0.13</v>
      </c>
      <c r="L41" s="15">
        <v>0.52</v>
      </c>
      <c r="M41" s="15">
        <v>0.14000000000000001</v>
      </c>
      <c r="N41" s="15">
        <v>1</v>
      </c>
      <c r="O41" s="15">
        <v>2.4</v>
      </c>
      <c r="P41" s="17">
        <v>215.79118948509867</v>
      </c>
      <c r="Q41" s="17">
        <f t="shared" si="0"/>
        <v>263.10614047360878</v>
      </c>
      <c r="R41" s="15">
        <v>3.3</v>
      </c>
      <c r="S41" s="15">
        <v>300</v>
      </c>
      <c r="T41" s="15" t="s">
        <v>486</v>
      </c>
      <c r="U41" s="15">
        <v>280</v>
      </c>
      <c r="V41" s="15">
        <v>980</v>
      </c>
      <c r="W41" s="15">
        <v>7600</v>
      </c>
    </row>
    <row r="42" spans="1:23" x14ac:dyDescent="0.25">
      <c r="A42" s="20" t="s">
        <v>206</v>
      </c>
      <c r="B42" s="20" t="s">
        <v>208</v>
      </c>
      <c r="C42" s="18">
        <v>44894</v>
      </c>
      <c r="D42" s="19">
        <v>0.56597222222222221</v>
      </c>
      <c r="E42" s="7" t="s">
        <v>129</v>
      </c>
      <c r="F42" s="16">
        <v>7.8</v>
      </c>
      <c r="G42" s="15">
        <v>39.9</v>
      </c>
      <c r="H42" s="15">
        <v>14000</v>
      </c>
      <c r="I42" s="15">
        <v>1800</v>
      </c>
      <c r="J42" s="15">
        <v>1.9E-2</v>
      </c>
      <c r="K42" s="15">
        <v>0.13</v>
      </c>
      <c r="L42" s="15">
        <v>0.51</v>
      </c>
      <c r="M42" s="15">
        <v>0.14000000000000001</v>
      </c>
      <c r="N42" s="15">
        <v>0.7</v>
      </c>
      <c r="O42" s="15">
        <v>1.6</v>
      </c>
      <c r="P42" s="17">
        <v>204.17166389743952</v>
      </c>
      <c r="Q42" s="17">
        <f t="shared" si="0"/>
        <v>248.93888675579905</v>
      </c>
      <c r="R42" s="15">
        <v>3.3</v>
      </c>
      <c r="S42" s="15">
        <v>290</v>
      </c>
      <c r="T42" s="15">
        <v>0.08</v>
      </c>
      <c r="U42" s="15">
        <v>280</v>
      </c>
      <c r="V42" s="15">
        <v>980</v>
      </c>
      <c r="W42" s="15">
        <v>7400</v>
      </c>
    </row>
    <row r="43" spans="1:23" x14ac:dyDescent="0.25">
      <c r="A43" s="7" t="s">
        <v>210</v>
      </c>
      <c r="B43" s="7" t="s">
        <v>211</v>
      </c>
      <c r="C43" s="18">
        <v>44894</v>
      </c>
      <c r="D43" s="19">
        <v>0.57430555555555551</v>
      </c>
      <c r="E43" s="7" t="s">
        <v>129</v>
      </c>
      <c r="F43" s="16">
        <v>7.8449999999999998</v>
      </c>
      <c r="G43" s="15">
        <v>38.5</v>
      </c>
      <c r="H43" s="15">
        <v>14000</v>
      </c>
      <c r="I43" s="15">
        <v>1900</v>
      </c>
      <c r="J43" s="15">
        <v>6.4000000000000001E-2</v>
      </c>
      <c r="K43" s="15">
        <v>0.2</v>
      </c>
      <c r="L43" s="15">
        <v>1.0999999999999999E-2</v>
      </c>
      <c r="M43" s="15">
        <v>0.22</v>
      </c>
      <c r="N43" s="15">
        <v>0.4</v>
      </c>
      <c r="O43" s="15">
        <v>3.9</v>
      </c>
      <c r="P43" s="17">
        <v>181.59658561284459</v>
      </c>
      <c r="Q43" s="17">
        <f t="shared" si="0"/>
        <v>221.41393667548309</v>
      </c>
      <c r="R43" s="15">
        <v>3.8</v>
      </c>
      <c r="S43" s="15">
        <v>310</v>
      </c>
      <c r="T43" s="15">
        <v>0.21</v>
      </c>
      <c r="U43" s="15">
        <v>270</v>
      </c>
      <c r="V43" s="15">
        <v>920</v>
      </c>
      <c r="W43" s="15">
        <v>7300</v>
      </c>
    </row>
    <row r="44" spans="1:23" x14ac:dyDescent="0.25">
      <c r="A44" s="7" t="s">
        <v>212</v>
      </c>
      <c r="B44" s="7" t="s">
        <v>213</v>
      </c>
      <c r="C44" s="18">
        <v>44894</v>
      </c>
      <c r="D44" s="19">
        <v>0.58680555555555558</v>
      </c>
      <c r="E44" s="7" t="s">
        <v>129</v>
      </c>
      <c r="F44" s="16">
        <v>7.63</v>
      </c>
      <c r="G44" s="15">
        <v>43.4</v>
      </c>
      <c r="H44" s="15">
        <v>16000</v>
      </c>
      <c r="I44" s="15">
        <v>2000</v>
      </c>
      <c r="J44" s="17" t="s">
        <v>485</v>
      </c>
      <c r="K44" s="15">
        <v>0.15</v>
      </c>
      <c r="L44" s="15">
        <v>0.86</v>
      </c>
      <c r="M44" s="15">
        <v>0.16</v>
      </c>
      <c r="N44" s="15">
        <v>1.3</v>
      </c>
      <c r="O44" s="15">
        <v>4.2</v>
      </c>
      <c r="P44" s="17">
        <v>225.41879640058772</v>
      </c>
      <c r="Q44" s="17">
        <f t="shared" si="0"/>
        <v>274.84472212550827</v>
      </c>
      <c r="R44" s="15">
        <v>3.5</v>
      </c>
      <c r="S44" s="15">
        <v>350</v>
      </c>
      <c r="T44" s="15" t="s">
        <v>486</v>
      </c>
      <c r="U44" s="15">
        <v>340</v>
      </c>
      <c r="V44" s="15">
        <v>1100</v>
      </c>
      <c r="W44" s="15">
        <v>8800</v>
      </c>
    </row>
    <row r="45" spans="1:23" x14ac:dyDescent="0.25">
      <c r="A45" s="7" t="s">
        <v>214</v>
      </c>
      <c r="B45" s="7" t="s">
        <v>215</v>
      </c>
      <c r="C45" s="18">
        <v>44894</v>
      </c>
      <c r="D45" s="19">
        <v>0.59375</v>
      </c>
      <c r="E45" s="7" t="s">
        <v>129</v>
      </c>
      <c r="F45" s="16">
        <v>7.67</v>
      </c>
      <c r="G45" s="15">
        <v>18.399999999999999</v>
      </c>
      <c r="H45" s="15">
        <v>5900</v>
      </c>
      <c r="I45" s="15">
        <v>910</v>
      </c>
      <c r="J45" s="15">
        <v>8.4</v>
      </c>
      <c r="K45" s="15">
        <v>0.11</v>
      </c>
      <c r="L45" s="17" t="s">
        <v>487</v>
      </c>
      <c r="M45" s="15">
        <v>0.11</v>
      </c>
      <c r="N45" s="15">
        <v>8.4</v>
      </c>
      <c r="O45" s="15">
        <v>4.4000000000000004</v>
      </c>
      <c r="P45" s="17">
        <v>296.1319092626278</v>
      </c>
      <c r="Q45" s="17">
        <f t="shared" si="0"/>
        <v>361.06258046532167</v>
      </c>
      <c r="R45" s="15">
        <v>1.5</v>
      </c>
      <c r="S45" s="15">
        <v>190</v>
      </c>
      <c r="T45" s="15">
        <v>0.03</v>
      </c>
      <c r="U45" s="15">
        <v>120</v>
      </c>
      <c r="V45" s="15">
        <v>420</v>
      </c>
      <c r="W45" s="15">
        <v>3400</v>
      </c>
    </row>
    <row r="46" spans="1:23" x14ac:dyDescent="0.25">
      <c r="A46" s="7" t="s">
        <v>216</v>
      </c>
      <c r="B46" s="7" t="s">
        <v>217</v>
      </c>
      <c r="C46" s="18">
        <v>44894</v>
      </c>
      <c r="D46" s="19">
        <v>0.60069444444444442</v>
      </c>
      <c r="E46" s="7" t="s">
        <v>129</v>
      </c>
      <c r="F46" s="16">
        <v>7.4649999999999999</v>
      </c>
      <c r="G46" s="15">
        <v>31.2</v>
      </c>
      <c r="H46" s="15">
        <v>11000</v>
      </c>
      <c r="I46" s="15">
        <v>1500</v>
      </c>
      <c r="J46" s="15">
        <v>5</v>
      </c>
      <c r="K46" s="15">
        <v>0.14000000000000001</v>
      </c>
      <c r="L46" s="15">
        <v>0.55000000000000004</v>
      </c>
      <c r="M46" s="15">
        <v>0.14000000000000001</v>
      </c>
      <c r="N46" s="15">
        <v>5.8</v>
      </c>
      <c r="O46" s="15">
        <v>7</v>
      </c>
      <c r="P46" s="17">
        <v>306.75547551420181</v>
      </c>
      <c r="Q46" s="17">
        <f t="shared" si="0"/>
        <v>374.0154981501762</v>
      </c>
      <c r="R46" s="15">
        <v>1.7</v>
      </c>
      <c r="S46" s="15">
        <v>380</v>
      </c>
      <c r="T46" s="15">
        <v>0.01</v>
      </c>
      <c r="U46" s="15">
        <v>210</v>
      </c>
      <c r="V46" s="15">
        <v>710</v>
      </c>
      <c r="W46" s="15">
        <v>5900</v>
      </c>
    </row>
    <row r="47" spans="1:23" x14ac:dyDescent="0.25">
      <c r="A47" s="7" t="s">
        <v>218</v>
      </c>
      <c r="B47" s="7" t="s">
        <v>219</v>
      </c>
      <c r="C47" s="18">
        <v>44894</v>
      </c>
      <c r="D47" s="19">
        <v>0.6069444444444444</v>
      </c>
      <c r="E47" s="7" t="s">
        <v>129</v>
      </c>
      <c r="F47" s="16">
        <v>7.4050000000000002</v>
      </c>
      <c r="G47" s="15">
        <v>27.9</v>
      </c>
      <c r="H47" s="15">
        <v>9300</v>
      </c>
      <c r="I47" s="15">
        <v>1600</v>
      </c>
      <c r="J47" s="15">
        <v>10</v>
      </c>
      <c r="K47" s="15">
        <v>7.2999999999999995E-2</v>
      </c>
      <c r="L47" s="17" t="s">
        <v>487</v>
      </c>
      <c r="M47" s="15">
        <v>0.26</v>
      </c>
      <c r="N47" s="15">
        <v>10</v>
      </c>
      <c r="O47" s="15">
        <v>3.9</v>
      </c>
      <c r="P47" s="17">
        <v>381.12043927522046</v>
      </c>
      <c r="Q47" s="17">
        <f t="shared" si="0"/>
        <v>464.68592194415834</v>
      </c>
      <c r="R47" s="15">
        <v>2.2000000000000002</v>
      </c>
      <c r="S47" s="15">
        <v>400</v>
      </c>
      <c r="T47" s="15">
        <v>2.1</v>
      </c>
      <c r="U47" s="15">
        <v>200</v>
      </c>
      <c r="V47" s="15">
        <v>640</v>
      </c>
      <c r="W47" s="15">
        <v>5300</v>
      </c>
    </row>
    <row r="48" spans="1:23" x14ac:dyDescent="0.25">
      <c r="A48" s="7" t="s">
        <v>220</v>
      </c>
      <c r="B48" s="7" t="s">
        <v>221</v>
      </c>
      <c r="C48" s="18">
        <v>44894</v>
      </c>
      <c r="D48" s="19">
        <v>0.61458333333333337</v>
      </c>
      <c r="E48" s="7" t="s">
        <v>129</v>
      </c>
      <c r="F48" s="16">
        <v>7.7949999999999999</v>
      </c>
      <c r="G48" s="15">
        <v>7.36</v>
      </c>
      <c r="H48" s="15">
        <v>2200</v>
      </c>
      <c r="I48" s="15">
        <v>460</v>
      </c>
      <c r="J48" s="15">
        <v>19</v>
      </c>
      <c r="K48" s="15">
        <v>4.9000000000000002E-2</v>
      </c>
      <c r="L48" s="17" t="s">
        <v>487</v>
      </c>
      <c r="M48" s="15">
        <v>0.08</v>
      </c>
      <c r="N48" s="15">
        <v>24</v>
      </c>
      <c r="O48" s="15">
        <v>4.5</v>
      </c>
      <c r="P48" s="17">
        <v>340.95007938645591</v>
      </c>
      <c r="Q48" s="17">
        <f t="shared" si="0"/>
        <v>415.70770194830186</v>
      </c>
      <c r="R48" s="15">
        <v>0.69</v>
      </c>
      <c r="S48" s="15">
        <v>85</v>
      </c>
      <c r="T48" s="15">
        <v>0.87</v>
      </c>
      <c r="U48" s="15">
        <v>39</v>
      </c>
      <c r="V48" s="15">
        <v>150</v>
      </c>
      <c r="W48" s="15">
        <v>1200</v>
      </c>
    </row>
    <row r="49" spans="1:23" x14ac:dyDescent="0.25">
      <c r="A49" s="20" t="s">
        <v>157</v>
      </c>
      <c r="B49" s="20" t="s">
        <v>222</v>
      </c>
      <c r="C49" s="18">
        <v>44894</v>
      </c>
      <c r="D49" s="19">
        <v>0.6479166666666667</v>
      </c>
      <c r="E49" s="7" t="s">
        <v>129</v>
      </c>
      <c r="F49" s="16">
        <v>7.6849999999999996</v>
      </c>
      <c r="G49" s="15">
        <v>4.8600000000000003</v>
      </c>
      <c r="H49" s="15">
        <v>1300</v>
      </c>
      <c r="I49" s="15">
        <v>230</v>
      </c>
      <c r="J49" s="15">
        <v>8.3000000000000004E-2</v>
      </c>
      <c r="K49" s="15">
        <v>0.02</v>
      </c>
      <c r="L49" s="15">
        <v>3.7</v>
      </c>
      <c r="M49" s="15">
        <v>0.02</v>
      </c>
      <c r="N49" s="15">
        <v>5.2</v>
      </c>
      <c r="O49" s="15">
        <v>2</v>
      </c>
      <c r="P49" s="17">
        <v>269.57299363369242</v>
      </c>
      <c r="Q49" s="17">
        <f t="shared" si="0"/>
        <v>328.68028625318499</v>
      </c>
      <c r="R49" s="15">
        <v>0.42</v>
      </c>
      <c r="S49" s="15">
        <v>100</v>
      </c>
      <c r="T49" s="15" t="s">
        <v>486</v>
      </c>
      <c r="U49" s="15">
        <v>29</v>
      </c>
      <c r="V49" s="15">
        <v>92</v>
      </c>
      <c r="W49" s="15">
        <v>700</v>
      </c>
    </row>
    <row r="50" spans="1:23" x14ac:dyDescent="0.25">
      <c r="A50" s="20" t="s">
        <v>157</v>
      </c>
      <c r="B50" s="20" t="s">
        <v>225</v>
      </c>
      <c r="C50" s="18">
        <v>44894</v>
      </c>
      <c r="D50" s="19">
        <v>0.64930555555555558</v>
      </c>
      <c r="E50" s="7" t="s">
        <v>172</v>
      </c>
      <c r="F50" s="16">
        <v>8.3249999999999993</v>
      </c>
      <c r="G50" s="15">
        <v>50.9</v>
      </c>
      <c r="H50" s="15">
        <v>20000</v>
      </c>
      <c r="I50" s="15">
        <v>2500</v>
      </c>
      <c r="J50" s="15">
        <v>1.2E-2</v>
      </c>
      <c r="K50" s="15">
        <v>7.0000000000000001E-3</v>
      </c>
      <c r="L50" s="15">
        <v>0.51</v>
      </c>
      <c r="M50" s="15">
        <v>0.02</v>
      </c>
      <c r="N50" s="15">
        <v>1</v>
      </c>
      <c r="O50" s="15">
        <v>1.5</v>
      </c>
      <c r="P50" s="17">
        <v>131.46663236322934</v>
      </c>
      <c r="Q50" s="17">
        <f t="shared" si="0"/>
        <v>160.29235635007549</v>
      </c>
      <c r="R50" s="15">
        <v>4.8</v>
      </c>
      <c r="S50" s="15">
        <v>390</v>
      </c>
      <c r="T50" s="15" t="s">
        <v>486</v>
      </c>
      <c r="U50" s="15">
        <v>410</v>
      </c>
      <c r="V50" s="15">
        <v>1300</v>
      </c>
      <c r="W50" s="15">
        <v>10000</v>
      </c>
    </row>
    <row r="51" spans="1:23" x14ac:dyDescent="0.25">
      <c r="A51" s="7" t="s">
        <v>226</v>
      </c>
      <c r="B51" s="7" t="s">
        <v>227</v>
      </c>
      <c r="C51" s="18">
        <v>44943</v>
      </c>
      <c r="D51" s="19">
        <v>0.40347222222222223</v>
      </c>
      <c r="E51" s="7" t="s">
        <v>129</v>
      </c>
      <c r="F51" s="16">
        <v>7.3849999999999998</v>
      </c>
      <c r="G51" s="16">
        <v>45.5</v>
      </c>
      <c r="H51" s="15">
        <v>17000</v>
      </c>
      <c r="I51" s="15">
        <v>2400</v>
      </c>
      <c r="J51" s="17" t="s">
        <v>485</v>
      </c>
      <c r="K51" s="15">
        <v>6.8000000000000005E-2</v>
      </c>
      <c r="L51" s="15">
        <v>0.19</v>
      </c>
      <c r="M51" s="15">
        <v>0.08</v>
      </c>
      <c r="N51" s="15">
        <v>0.3</v>
      </c>
      <c r="O51" s="15">
        <v>1.3</v>
      </c>
      <c r="P51" s="17">
        <v>182.14403744716748</v>
      </c>
      <c r="Q51" s="17">
        <f t="shared" si="0"/>
        <v>222.08142425719382</v>
      </c>
      <c r="R51" s="15">
        <v>4.4000000000000004</v>
      </c>
      <c r="S51" s="15">
        <v>370</v>
      </c>
      <c r="T51" s="15" t="s">
        <v>486</v>
      </c>
      <c r="U51" s="15">
        <v>380</v>
      </c>
      <c r="V51" s="15">
        <v>1200</v>
      </c>
      <c r="W51" s="15">
        <v>9300</v>
      </c>
    </row>
    <row r="52" spans="1:23" x14ac:dyDescent="0.25">
      <c r="A52" s="7" t="s">
        <v>228</v>
      </c>
      <c r="B52" s="7" t="s">
        <v>229</v>
      </c>
      <c r="C52" s="18">
        <v>44943</v>
      </c>
      <c r="D52" s="19">
        <v>0.41250000000000003</v>
      </c>
      <c r="E52" s="7" t="s">
        <v>129</v>
      </c>
      <c r="F52" s="16">
        <v>7.8550000000000004</v>
      </c>
      <c r="G52" s="16">
        <v>41.4</v>
      </c>
      <c r="H52" s="15">
        <v>15000</v>
      </c>
      <c r="I52" s="15">
        <v>2200</v>
      </c>
      <c r="J52" s="17" t="s">
        <v>485</v>
      </c>
      <c r="K52" s="15">
        <v>5.8000000000000003E-2</v>
      </c>
      <c r="L52" s="15">
        <v>0.3</v>
      </c>
      <c r="M52" s="15">
        <v>0.06</v>
      </c>
      <c r="N52" s="15">
        <v>0.8</v>
      </c>
      <c r="O52" s="15">
        <v>1.1000000000000001</v>
      </c>
      <c r="P52" s="17">
        <v>128.76849533810739</v>
      </c>
      <c r="Q52" s="17">
        <f t="shared" si="0"/>
        <v>157.00261861406005</v>
      </c>
      <c r="R52" s="15">
        <v>3.6</v>
      </c>
      <c r="S52" s="15">
        <v>360</v>
      </c>
      <c r="T52" s="15" t="s">
        <v>486</v>
      </c>
      <c r="U52" s="15">
        <v>340</v>
      </c>
      <c r="V52" s="15">
        <v>1000</v>
      </c>
      <c r="W52" s="15">
        <v>8300</v>
      </c>
    </row>
    <row r="53" spans="1:23" x14ac:dyDescent="0.25">
      <c r="A53" s="7" t="s">
        <v>230</v>
      </c>
      <c r="B53" s="7" t="s">
        <v>231</v>
      </c>
      <c r="C53" s="18">
        <v>44943</v>
      </c>
      <c r="D53" s="19">
        <v>0.41736111111111113</v>
      </c>
      <c r="E53" s="7" t="s">
        <v>129</v>
      </c>
      <c r="F53" s="16">
        <v>7.82</v>
      </c>
      <c r="G53" s="16">
        <v>49.9</v>
      </c>
      <c r="H53" s="15">
        <v>20000</v>
      </c>
      <c r="I53" s="15">
        <v>2700</v>
      </c>
      <c r="J53" s="15">
        <v>4.2000000000000003E-2</v>
      </c>
      <c r="K53" s="15">
        <v>6.8000000000000005E-2</v>
      </c>
      <c r="L53" s="15">
        <v>8.6999999999999994E-2</v>
      </c>
      <c r="M53" s="15">
        <v>7.0000000000000007E-2</v>
      </c>
      <c r="N53" s="15">
        <v>0.3</v>
      </c>
      <c r="O53" s="15">
        <v>1.1000000000000001</v>
      </c>
      <c r="P53" s="17">
        <v>122.09655257447493</v>
      </c>
      <c r="Q53" s="17">
        <f t="shared" si="0"/>
        <v>148.86776790866841</v>
      </c>
      <c r="R53" s="15">
        <v>5.2</v>
      </c>
      <c r="S53" s="15">
        <v>400</v>
      </c>
      <c r="T53" s="15" t="s">
        <v>486</v>
      </c>
      <c r="U53" s="15">
        <v>430</v>
      </c>
      <c r="V53" s="15">
        <v>1300</v>
      </c>
      <c r="W53" s="15">
        <v>10000</v>
      </c>
    </row>
    <row r="54" spans="1:23" x14ac:dyDescent="0.25">
      <c r="A54" s="7" t="s">
        <v>232</v>
      </c>
      <c r="B54" s="7" t="s">
        <v>233</v>
      </c>
      <c r="C54" s="18">
        <v>44943</v>
      </c>
      <c r="D54" s="19">
        <v>0.4236111111111111</v>
      </c>
      <c r="E54" s="7" t="s">
        <v>129</v>
      </c>
      <c r="F54" s="16">
        <v>7.6950000000000003</v>
      </c>
      <c r="G54" s="16">
        <v>47.1</v>
      </c>
      <c r="H54" s="15">
        <v>19000</v>
      </c>
      <c r="I54" s="15">
        <v>2600</v>
      </c>
      <c r="J54" s="15">
        <v>0.67</v>
      </c>
      <c r="K54" s="15">
        <v>4.2000000000000003E-2</v>
      </c>
      <c r="L54" s="17" t="s">
        <v>487</v>
      </c>
      <c r="M54" s="15">
        <v>0.08</v>
      </c>
      <c r="N54" s="15">
        <v>0.7</v>
      </c>
      <c r="O54" s="15">
        <v>1.5</v>
      </c>
      <c r="P54" s="17">
        <v>161.12741774172508</v>
      </c>
      <c r="Q54" s="17">
        <f t="shared" si="0"/>
        <v>196.4566445352099</v>
      </c>
      <c r="R54" s="15">
        <v>4</v>
      </c>
      <c r="S54" s="15">
        <v>420</v>
      </c>
      <c r="T54" s="15">
        <v>0.93</v>
      </c>
      <c r="U54" s="15">
        <v>390</v>
      </c>
      <c r="V54" s="15">
        <v>1200</v>
      </c>
      <c r="W54" s="15">
        <v>9600</v>
      </c>
    </row>
    <row r="55" spans="1:23" x14ac:dyDescent="0.25">
      <c r="A55" s="7" t="s">
        <v>234</v>
      </c>
      <c r="B55" s="7" t="s">
        <v>235</v>
      </c>
      <c r="C55" s="18">
        <v>44943</v>
      </c>
      <c r="D55" s="19">
        <v>0.43194444444444446</v>
      </c>
      <c r="E55" s="7" t="s">
        <v>129</v>
      </c>
      <c r="F55" s="16">
        <v>7.7249999999999996</v>
      </c>
      <c r="G55" s="16">
        <v>48.6</v>
      </c>
      <c r="H55" s="15">
        <v>18000</v>
      </c>
      <c r="I55" s="15">
        <v>2400</v>
      </c>
      <c r="J55" s="15">
        <v>0.12</v>
      </c>
      <c r="K55" s="15">
        <v>8.2000000000000003E-2</v>
      </c>
      <c r="L55" s="17" t="s">
        <v>487</v>
      </c>
      <c r="M55" s="15">
        <v>0.09</v>
      </c>
      <c r="N55" s="15">
        <v>0.3</v>
      </c>
      <c r="O55" s="15">
        <v>3.2</v>
      </c>
      <c r="P55" s="17">
        <v>160.77229820753175</v>
      </c>
      <c r="Q55" s="17">
        <f t="shared" si="0"/>
        <v>196.02366054605201</v>
      </c>
      <c r="R55" s="15">
        <v>3.9</v>
      </c>
      <c r="S55" s="15">
        <v>420</v>
      </c>
      <c r="T55" s="15">
        <v>0.02</v>
      </c>
      <c r="U55" s="15">
        <v>400</v>
      </c>
      <c r="V55" s="15">
        <v>1200</v>
      </c>
      <c r="W55" s="15">
        <v>10000</v>
      </c>
    </row>
    <row r="56" spans="1:23" x14ac:dyDescent="0.25">
      <c r="A56" s="7" t="s">
        <v>236</v>
      </c>
      <c r="B56" s="7" t="s">
        <v>237</v>
      </c>
      <c r="C56" s="18">
        <v>44943</v>
      </c>
      <c r="D56" s="19">
        <v>0.4381944444444445</v>
      </c>
      <c r="E56" s="7" t="s">
        <v>129</v>
      </c>
      <c r="F56" s="16">
        <v>7.61</v>
      </c>
      <c r="G56" s="16">
        <v>44.5</v>
      </c>
      <c r="H56" s="15">
        <v>18000</v>
      </c>
      <c r="I56" s="15">
        <v>2400</v>
      </c>
      <c r="J56" s="15">
        <v>0.27</v>
      </c>
      <c r="K56" s="15">
        <v>8.5999999999999993E-2</v>
      </c>
      <c r="L56" s="17" t="s">
        <v>487</v>
      </c>
      <c r="M56" s="15">
        <v>0.11</v>
      </c>
      <c r="N56" s="15">
        <v>0.5</v>
      </c>
      <c r="O56" s="15">
        <v>3.6</v>
      </c>
      <c r="P56" s="17">
        <v>193.48634014534272</v>
      </c>
      <c r="Q56" s="17">
        <f t="shared" si="0"/>
        <v>235.91067045635972</v>
      </c>
      <c r="R56" s="15">
        <v>4</v>
      </c>
      <c r="S56" s="15">
        <v>410</v>
      </c>
      <c r="T56" s="15" t="s">
        <v>486</v>
      </c>
      <c r="U56" s="15">
        <v>350</v>
      </c>
      <c r="V56" s="15">
        <v>1100</v>
      </c>
      <c r="W56" s="15">
        <v>8800</v>
      </c>
    </row>
    <row r="57" spans="1:23" x14ac:dyDescent="0.25">
      <c r="A57" s="7" t="s">
        <v>238</v>
      </c>
      <c r="B57" s="7" t="s">
        <v>239</v>
      </c>
      <c r="C57" s="18">
        <v>44943</v>
      </c>
      <c r="D57" s="19">
        <v>0.44375000000000003</v>
      </c>
      <c r="E57" s="7" t="s">
        <v>129</v>
      </c>
      <c r="F57" s="16">
        <v>7.47</v>
      </c>
      <c r="G57" s="16">
        <v>48.4</v>
      </c>
      <c r="H57" s="15">
        <v>18000</v>
      </c>
      <c r="I57" s="15">
        <v>2700</v>
      </c>
      <c r="J57" s="15">
        <v>0.75</v>
      </c>
      <c r="K57" s="15">
        <v>1.7000000000000001E-2</v>
      </c>
      <c r="L57" s="15">
        <v>1.2999999999999999E-2</v>
      </c>
      <c r="M57" s="15">
        <v>0.08</v>
      </c>
      <c r="N57" s="15">
        <v>0.8</v>
      </c>
      <c r="O57" s="15">
        <v>2</v>
      </c>
      <c r="P57" s="17">
        <v>209.83259991624237</v>
      </c>
      <c r="Q57" s="17">
        <f t="shared" si="0"/>
        <v>255.84105468456943</v>
      </c>
      <c r="R57" s="15">
        <v>4.3</v>
      </c>
      <c r="S57" s="15">
        <v>430</v>
      </c>
      <c r="T57" s="15">
        <v>2</v>
      </c>
      <c r="U57" s="15">
        <v>390</v>
      </c>
      <c r="V57" s="15">
        <v>1200</v>
      </c>
      <c r="W57" s="15">
        <v>9700</v>
      </c>
    </row>
    <row r="58" spans="1:23" x14ac:dyDescent="0.25">
      <c r="A58" s="7" t="s">
        <v>240</v>
      </c>
      <c r="B58" s="7" t="s">
        <v>241</v>
      </c>
      <c r="C58" s="18">
        <v>44943</v>
      </c>
      <c r="D58" s="19">
        <v>0.44861111111111113</v>
      </c>
      <c r="E58" s="7" t="s">
        <v>129</v>
      </c>
      <c r="F58" s="16">
        <v>7.47</v>
      </c>
      <c r="G58" s="16">
        <v>42</v>
      </c>
      <c r="H58" s="15">
        <v>16000</v>
      </c>
      <c r="I58" s="15">
        <v>2400</v>
      </c>
      <c r="J58" s="15">
        <v>0.02</v>
      </c>
      <c r="K58" s="15">
        <v>4.4999999999999998E-2</v>
      </c>
      <c r="L58" s="17" t="s">
        <v>487</v>
      </c>
      <c r="M58" s="15">
        <v>0.08</v>
      </c>
      <c r="N58" s="15">
        <v>0.3</v>
      </c>
      <c r="O58" s="15">
        <v>2.2999999999999998</v>
      </c>
      <c r="P58" s="17">
        <v>300.23742436346288</v>
      </c>
      <c r="Q58" s="17">
        <f t="shared" si="0"/>
        <v>366.06828174262722</v>
      </c>
      <c r="R58" s="15">
        <v>4.0999999999999996</v>
      </c>
      <c r="S58" s="15">
        <v>400</v>
      </c>
      <c r="T58" s="15">
        <v>0.6</v>
      </c>
      <c r="U58" s="15">
        <v>340</v>
      </c>
      <c r="V58" s="15">
        <v>1000</v>
      </c>
      <c r="W58" s="15">
        <v>8300</v>
      </c>
    </row>
    <row r="59" spans="1:23" x14ac:dyDescent="0.25">
      <c r="A59" s="7" t="s">
        <v>242</v>
      </c>
      <c r="B59" s="7" t="s">
        <v>243</v>
      </c>
      <c r="C59" s="18">
        <v>44943</v>
      </c>
      <c r="D59" s="19">
        <v>0.45833333333333331</v>
      </c>
      <c r="E59" s="7" t="s">
        <v>129</v>
      </c>
      <c r="F59" s="16">
        <v>7.49</v>
      </c>
      <c r="G59" s="16">
        <v>40.5</v>
      </c>
      <c r="H59" s="15">
        <v>15000</v>
      </c>
      <c r="I59" s="15">
        <v>2200</v>
      </c>
      <c r="J59" s="15">
        <v>4.1000000000000002E-2</v>
      </c>
      <c r="K59" s="15">
        <v>0.04</v>
      </c>
      <c r="L59" s="15">
        <v>1.2E-2</v>
      </c>
      <c r="M59" s="15">
        <v>0.08</v>
      </c>
      <c r="N59" s="15">
        <v>0.2</v>
      </c>
      <c r="O59" s="15">
        <v>1.6</v>
      </c>
      <c r="P59" s="17">
        <v>227.17965110168691</v>
      </c>
      <c r="Q59" s="17">
        <f t="shared" si="0"/>
        <v>276.99166651858792</v>
      </c>
      <c r="R59" s="15">
        <v>4.2</v>
      </c>
      <c r="S59" s="15">
        <v>370</v>
      </c>
      <c r="T59" s="15">
        <v>0.47</v>
      </c>
      <c r="U59" s="15">
        <v>340</v>
      </c>
      <c r="V59" s="15">
        <v>980</v>
      </c>
      <c r="W59" s="15">
        <v>8000</v>
      </c>
    </row>
    <row r="60" spans="1:23" x14ac:dyDescent="0.25">
      <c r="A60" s="20" t="s">
        <v>242</v>
      </c>
      <c r="B60" s="20" t="s">
        <v>244</v>
      </c>
      <c r="C60" s="18">
        <v>44943</v>
      </c>
      <c r="D60" s="19">
        <v>0.45902777777777781</v>
      </c>
      <c r="E60" s="7" t="s">
        <v>129</v>
      </c>
      <c r="F60" s="16">
        <v>7.53</v>
      </c>
      <c r="G60" s="16">
        <v>40.4</v>
      </c>
      <c r="H60" s="15">
        <v>15000</v>
      </c>
      <c r="I60" s="15">
        <v>2300</v>
      </c>
      <c r="J60" s="15">
        <v>4.1000000000000002E-2</v>
      </c>
      <c r="K60" s="15">
        <v>0.04</v>
      </c>
      <c r="L60" s="17" t="s">
        <v>487</v>
      </c>
      <c r="M60" s="15">
        <v>0.06</v>
      </c>
      <c r="N60" s="15">
        <v>0.1</v>
      </c>
      <c r="O60" s="15">
        <v>1.7</v>
      </c>
      <c r="P60" s="17">
        <v>225.33948624268504</v>
      </c>
      <c r="Q60" s="17">
        <f t="shared" si="0"/>
        <v>274.7480222111331</v>
      </c>
      <c r="R60" s="15">
        <v>4.2</v>
      </c>
      <c r="S60" s="15">
        <v>380</v>
      </c>
      <c r="T60" s="15">
        <v>0.5</v>
      </c>
      <c r="U60" s="15">
        <v>340</v>
      </c>
      <c r="V60" s="15">
        <v>990</v>
      </c>
      <c r="W60" s="15">
        <v>8100</v>
      </c>
    </row>
    <row r="61" spans="1:23" x14ac:dyDescent="0.25">
      <c r="A61" s="7" t="s">
        <v>247</v>
      </c>
      <c r="B61" s="7" t="s">
        <v>248</v>
      </c>
      <c r="C61" s="18">
        <v>44943</v>
      </c>
      <c r="D61" s="19">
        <v>0.46527777777777773</v>
      </c>
      <c r="E61" s="7" t="s">
        <v>129</v>
      </c>
      <c r="F61" s="16">
        <v>7.72</v>
      </c>
      <c r="G61" s="16">
        <v>47.5</v>
      </c>
      <c r="H61" s="15">
        <v>17000</v>
      </c>
      <c r="I61" s="15">
        <v>2500</v>
      </c>
      <c r="J61" s="15">
        <v>0.13</v>
      </c>
      <c r="K61" s="15">
        <v>0.14000000000000001</v>
      </c>
      <c r="L61" s="17" t="s">
        <v>487</v>
      </c>
      <c r="M61" s="15">
        <v>0.16</v>
      </c>
      <c r="N61" s="15">
        <v>0.2</v>
      </c>
      <c r="O61" s="15">
        <v>3.2</v>
      </c>
      <c r="P61" s="17">
        <v>207.83101708715265</v>
      </c>
      <c r="Q61" s="17">
        <f t="shared" si="0"/>
        <v>253.40059947295194</v>
      </c>
      <c r="R61" s="15">
        <v>4.7</v>
      </c>
      <c r="S61" s="15">
        <v>400</v>
      </c>
      <c r="T61" s="15">
        <v>0.51</v>
      </c>
      <c r="U61" s="15">
        <v>400</v>
      </c>
      <c r="V61" s="15">
        <v>1200</v>
      </c>
      <c r="W61" s="15">
        <v>9600</v>
      </c>
    </row>
    <row r="62" spans="1:23" x14ac:dyDescent="0.25">
      <c r="A62" s="7" t="s">
        <v>249</v>
      </c>
      <c r="B62" s="7" t="s">
        <v>250</v>
      </c>
      <c r="C62" s="18">
        <v>44943</v>
      </c>
      <c r="D62" s="19">
        <v>0.47152777777777777</v>
      </c>
      <c r="E62" s="7" t="s">
        <v>129</v>
      </c>
      <c r="F62" s="16">
        <v>7.55</v>
      </c>
      <c r="G62" s="16">
        <v>44.3</v>
      </c>
      <c r="H62" s="15">
        <v>16000</v>
      </c>
      <c r="I62" s="15">
        <v>2500</v>
      </c>
      <c r="J62" s="15">
        <v>1</v>
      </c>
      <c r="K62" s="15">
        <v>9.4E-2</v>
      </c>
      <c r="L62" s="15">
        <v>6.0000000000000001E-3</v>
      </c>
      <c r="M62" s="15">
        <v>0.16</v>
      </c>
      <c r="N62" s="15">
        <v>1.2</v>
      </c>
      <c r="O62" s="15">
        <v>1.7</v>
      </c>
      <c r="P62" s="17">
        <v>232.18360817441126</v>
      </c>
      <c r="Q62" s="17">
        <f t="shared" si="0"/>
        <v>283.09280454763166</v>
      </c>
      <c r="R62" s="15">
        <v>4.0999999999999996</v>
      </c>
      <c r="S62" s="15">
        <v>430</v>
      </c>
      <c r="T62" s="15">
        <v>0.83</v>
      </c>
      <c r="U62" s="15">
        <v>360</v>
      </c>
      <c r="V62" s="15">
        <v>1100</v>
      </c>
      <c r="W62" s="15">
        <v>8700</v>
      </c>
    </row>
    <row r="63" spans="1:23" x14ac:dyDescent="0.25">
      <c r="A63" s="7" t="s">
        <v>251</v>
      </c>
      <c r="B63" s="7" t="s">
        <v>252</v>
      </c>
      <c r="C63" s="18">
        <v>44943</v>
      </c>
      <c r="D63" s="19">
        <v>0.47986111111111113</v>
      </c>
      <c r="E63" s="7" t="s">
        <v>129</v>
      </c>
      <c r="F63" s="16">
        <v>7.5149999999999997</v>
      </c>
      <c r="G63" s="16">
        <v>25.2</v>
      </c>
      <c r="H63" s="15">
        <v>8100</v>
      </c>
      <c r="I63" s="15">
        <v>1500</v>
      </c>
      <c r="J63" s="15">
        <v>5.6</v>
      </c>
      <c r="K63" s="15">
        <v>7.8E-2</v>
      </c>
      <c r="L63" s="15">
        <v>1.0999999999999999E-2</v>
      </c>
      <c r="M63" s="15">
        <v>0.1</v>
      </c>
      <c r="N63" s="15">
        <v>5.9</v>
      </c>
      <c r="O63" s="15">
        <v>3.2</v>
      </c>
      <c r="P63" s="17">
        <v>357.94972926888408</v>
      </c>
      <c r="Q63" s="17">
        <f t="shared" si="0"/>
        <v>436.43474034426555</v>
      </c>
      <c r="R63" s="15">
        <v>2.4</v>
      </c>
      <c r="S63" s="15">
        <v>350</v>
      </c>
      <c r="T63" s="15">
        <v>0.32</v>
      </c>
      <c r="U63" s="15">
        <v>200</v>
      </c>
      <c r="V63" s="15">
        <v>570</v>
      </c>
      <c r="W63" s="15">
        <v>4600</v>
      </c>
    </row>
    <row r="64" spans="1:23" x14ac:dyDescent="0.25">
      <c r="A64" s="7" t="s">
        <v>253</v>
      </c>
      <c r="B64" s="7" t="s">
        <v>254</v>
      </c>
      <c r="C64" s="18">
        <v>44943</v>
      </c>
      <c r="D64" s="19">
        <v>0.4861111111111111</v>
      </c>
      <c r="E64" s="7" t="s">
        <v>129</v>
      </c>
      <c r="F64" s="16">
        <v>7.5250000000000004</v>
      </c>
      <c r="G64" s="16">
        <v>25.6</v>
      </c>
      <c r="H64" s="15">
        <v>8200</v>
      </c>
      <c r="I64" s="15">
        <v>1500</v>
      </c>
      <c r="J64" s="15">
        <v>0.95</v>
      </c>
      <c r="K64" s="15">
        <v>1.6E-2</v>
      </c>
      <c r="L64" s="17" t="s">
        <v>487</v>
      </c>
      <c r="M64" s="15">
        <v>0.04</v>
      </c>
      <c r="N64" s="15">
        <v>1.1000000000000001</v>
      </c>
      <c r="O64" s="15">
        <v>3.5</v>
      </c>
      <c r="P64" s="17">
        <v>281.22238748711027</v>
      </c>
      <c r="Q64" s="17">
        <f t="shared" si="0"/>
        <v>342.8839572322608</v>
      </c>
      <c r="R64" s="15">
        <v>2.5</v>
      </c>
      <c r="S64" s="15">
        <v>380</v>
      </c>
      <c r="T64" s="15">
        <v>0.9</v>
      </c>
      <c r="U64" s="15">
        <v>200</v>
      </c>
      <c r="V64" s="15">
        <v>600</v>
      </c>
      <c r="W64" s="15">
        <v>4700</v>
      </c>
    </row>
    <row r="65" spans="1:23" x14ac:dyDescent="0.25">
      <c r="A65" s="7" t="s">
        <v>255</v>
      </c>
      <c r="B65" s="7" t="s">
        <v>256</v>
      </c>
      <c r="C65" s="18">
        <v>44943</v>
      </c>
      <c r="D65" s="19">
        <v>0.4916666666666667</v>
      </c>
      <c r="E65" s="7" t="s">
        <v>129</v>
      </c>
      <c r="F65" s="16">
        <v>7.49</v>
      </c>
      <c r="G65" s="16">
        <v>27.7</v>
      </c>
      <c r="H65" s="15">
        <v>9100</v>
      </c>
      <c r="I65" s="15">
        <v>1500</v>
      </c>
      <c r="J65" s="15">
        <v>0.98</v>
      </c>
      <c r="K65" s="15">
        <v>5.8999999999999997E-2</v>
      </c>
      <c r="L65" s="17" t="s">
        <v>487</v>
      </c>
      <c r="M65" s="15">
        <v>0.08</v>
      </c>
      <c r="N65" s="15">
        <v>1.1000000000000001</v>
      </c>
      <c r="O65" s="15">
        <v>1.7</v>
      </c>
      <c r="P65" s="17">
        <v>241.52432804349681</v>
      </c>
      <c r="Q65" s="17">
        <f t="shared" si="0"/>
        <v>294.48159553518008</v>
      </c>
      <c r="R65" s="15">
        <v>2.4</v>
      </c>
      <c r="S65" s="15">
        <v>370</v>
      </c>
      <c r="T65" s="15">
        <v>0.46</v>
      </c>
      <c r="U65" s="15">
        <v>210</v>
      </c>
      <c r="V65" s="15">
        <v>630</v>
      </c>
      <c r="W65" s="15">
        <v>5000</v>
      </c>
    </row>
    <row r="66" spans="1:23" x14ac:dyDescent="0.25">
      <c r="A66" s="7" t="s">
        <v>257</v>
      </c>
      <c r="B66" s="7" t="s">
        <v>258</v>
      </c>
      <c r="C66" s="18">
        <v>44943</v>
      </c>
      <c r="D66" s="19">
        <v>0.53194444444444444</v>
      </c>
      <c r="E66" s="7" t="s">
        <v>129</v>
      </c>
      <c r="F66" s="16">
        <v>7.51</v>
      </c>
      <c r="G66" s="16">
        <v>24.7</v>
      </c>
      <c r="H66" s="15">
        <v>8400</v>
      </c>
      <c r="I66" s="15">
        <v>1400</v>
      </c>
      <c r="J66" s="15">
        <v>1.8</v>
      </c>
      <c r="K66" s="15">
        <v>4.9000000000000002E-2</v>
      </c>
      <c r="L66" s="17" t="s">
        <v>487</v>
      </c>
      <c r="M66" s="15">
        <v>0.06</v>
      </c>
      <c r="N66" s="15">
        <v>2.5</v>
      </c>
      <c r="O66" s="15">
        <v>2.2000000000000002</v>
      </c>
      <c r="P66" s="17">
        <v>309.91174137073</v>
      </c>
      <c r="Q66" s="17">
        <f t="shared" si="0"/>
        <v>377.86381526544517</v>
      </c>
      <c r="R66" s="15">
        <v>2</v>
      </c>
      <c r="S66" s="15">
        <v>380</v>
      </c>
      <c r="T66" s="15">
        <v>0.1</v>
      </c>
      <c r="U66" s="15">
        <v>170</v>
      </c>
      <c r="V66" s="15">
        <v>520</v>
      </c>
      <c r="W66" s="15">
        <v>4400</v>
      </c>
    </row>
    <row r="67" spans="1:23" x14ac:dyDescent="0.25">
      <c r="A67" s="7" t="s">
        <v>259</v>
      </c>
      <c r="B67" s="7" t="s">
        <v>260</v>
      </c>
      <c r="C67" s="18">
        <v>44943</v>
      </c>
      <c r="D67" s="19">
        <v>0.53888888888888886</v>
      </c>
      <c r="E67" s="7" t="s">
        <v>129</v>
      </c>
      <c r="F67" s="16">
        <v>7.56</v>
      </c>
      <c r="G67" s="16">
        <v>33.700000000000003</v>
      </c>
      <c r="H67" s="15">
        <v>12000</v>
      </c>
      <c r="I67" s="15">
        <v>1800</v>
      </c>
      <c r="J67" s="15">
        <v>1.5</v>
      </c>
      <c r="K67" s="15">
        <v>7.2999999999999995E-2</v>
      </c>
      <c r="L67" s="17" t="s">
        <v>487</v>
      </c>
      <c r="M67" s="15">
        <v>0.09</v>
      </c>
      <c r="N67" s="15">
        <v>1.6</v>
      </c>
      <c r="O67" s="15">
        <v>1.6</v>
      </c>
      <c r="P67" s="17">
        <v>229.5148310689583</v>
      </c>
      <c r="Q67" s="17">
        <f t="shared" si="0"/>
        <v>279.83886426547502</v>
      </c>
      <c r="R67" s="15">
        <v>3.5</v>
      </c>
      <c r="S67" s="15">
        <v>340</v>
      </c>
      <c r="T67" s="15">
        <v>0.35</v>
      </c>
      <c r="U67" s="15">
        <v>270</v>
      </c>
      <c r="V67" s="15">
        <v>780</v>
      </c>
      <c r="W67" s="15">
        <v>6500</v>
      </c>
    </row>
    <row r="68" spans="1:23" x14ac:dyDescent="0.25">
      <c r="A68" s="7" t="s">
        <v>261</v>
      </c>
      <c r="B68" s="7" t="s">
        <v>262</v>
      </c>
      <c r="C68" s="18">
        <v>44943</v>
      </c>
      <c r="D68" s="19">
        <v>0.54375000000000007</v>
      </c>
      <c r="E68" s="7" t="s">
        <v>129</v>
      </c>
      <c r="F68" s="16">
        <v>7.4749999999999996</v>
      </c>
      <c r="G68" s="16">
        <v>39.5</v>
      </c>
      <c r="H68" s="15">
        <v>14000</v>
      </c>
      <c r="I68" s="15">
        <v>2100</v>
      </c>
      <c r="J68" s="15">
        <v>0.13</v>
      </c>
      <c r="K68" s="15">
        <v>5.7000000000000002E-2</v>
      </c>
      <c r="L68" s="17" t="s">
        <v>487</v>
      </c>
      <c r="M68" s="15">
        <v>7.0000000000000007E-2</v>
      </c>
      <c r="N68" s="15">
        <v>0.3</v>
      </c>
      <c r="O68" s="15">
        <v>1.3</v>
      </c>
      <c r="P68" s="17">
        <v>174.80490040717171</v>
      </c>
      <c r="Q68" s="17">
        <f t="shared" si="0"/>
        <v>213.13308848126294</v>
      </c>
      <c r="R68" s="15">
        <v>3.9</v>
      </c>
      <c r="S68" s="15">
        <v>360</v>
      </c>
      <c r="T68" s="15">
        <v>0.32</v>
      </c>
      <c r="U68" s="15">
        <v>320</v>
      </c>
      <c r="V68" s="15">
        <v>970</v>
      </c>
      <c r="W68" s="15">
        <v>7800</v>
      </c>
    </row>
    <row r="69" spans="1:23" x14ac:dyDescent="0.25">
      <c r="A69" s="7" t="s">
        <v>263</v>
      </c>
      <c r="B69" s="7" t="s">
        <v>264</v>
      </c>
      <c r="C69" s="18">
        <v>44943</v>
      </c>
      <c r="D69" s="19">
        <v>0.55069444444444449</v>
      </c>
      <c r="E69" s="7" t="s">
        <v>129</v>
      </c>
      <c r="F69" s="16">
        <v>7.8049999999999997</v>
      </c>
      <c r="G69" s="16">
        <v>23.7</v>
      </c>
      <c r="H69" s="15">
        <v>7600</v>
      </c>
      <c r="I69" s="15">
        <v>770</v>
      </c>
      <c r="J69" s="15">
        <v>0.04</v>
      </c>
      <c r="K69" s="15">
        <v>5.8000000000000003E-2</v>
      </c>
      <c r="L69" s="15">
        <v>1.2E-2</v>
      </c>
      <c r="M69" s="15">
        <v>7.0000000000000007E-2</v>
      </c>
      <c r="N69" s="15">
        <v>0.1</v>
      </c>
      <c r="O69" s="15">
        <v>1.9</v>
      </c>
      <c r="P69" s="17">
        <v>189.48317448716324</v>
      </c>
      <c r="Q69" s="17">
        <f t="shared" ref="Q69:Q97" si="1">((P69*61.018*2)/100.09)</f>
        <v>231.02976003312472</v>
      </c>
      <c r="R69" s="15">
        <v>2.7</v>
      </c>
      <c r="S69" s="15">
        <v>200</v>
      </c>
      <c r="T69" s="15">
        <v>7.0000000000000007E-2</v>
      </c>
      <c r="U69" s="15">
        <v>190</v>
      </c>
      <c r="V69" s="15">
        <v>530</v>
      </c>
      <c r="W69" s="15">
        <v>4400</v>
      </c>
    </row>
    <row r="70" spans="1:23" x14ac:dyDescent="0.25">
      <c r="A70" s="20" t="s">
        <v>263</v>
      </c>
      <c r="B70" s="20" t="s">
        <v>265</v>
      </c>
      <c r="C70" s="18">
        <v>44943</v>
      </c>
      <c r="D70" s="19">
        <v>0.55625000000000002</v>
      </c>
      <c r="E70" s="7" t="s">
        <v>172</v>
      </c>
      <c r="F70" s="16">
        <v>8.16</v>
      </c>
      <c r="G70" s="16">
        <v>54.9</v>
      </c>
      <c r="H70" s="15">
        <v>20000</v>
      </c>
      <c r="I70" s="15">
        <v>2900</v>
      </c>
      <c r="J70" s="15">
        <v>1.2999999999999999E-2</v>
      </c>
      <c r="K70" s="15">
        <v>6.0000000000000001E-3</v>
      </c>
      <c r="L70" s="17" t="s">
        <v>487</v>
      </c>
      <c r="M70" s="15">
        <v>0.02</v>
      </c>
      <c r="N70" s="15">
        <v>0.2</v>
      </c>
      <c r="O70" s="15">
        <v>1.7</v>
      </c>
      <c r="P70" s="17">
        <v>118.76058119265866</v>
      </c>
      <c r="Q70" s="17">
        <f t="shared" si="1"/>
        <v>144.80034255597255</v>
      </c>
      <c r="R70" s="15">
        <v>5.3</v>
      </c>
      <c r="S70" s="15">
        <v>430</v>
      </c>
      <c r="T70" s="15" t="s">
        <v>486</v>
      </c>
      <c r="U70" s="15">
        <v>450</v>
      </c>
      <c r="V70" s="15">
        <v>1400</v>
      </c>
      <c r="W70" s="15">
        <v>11000</v>
      </c>
    </row>
    <row r="71" spans="1:23" x14ac:dyDescent="0.25">
      <c r="A71" s="20" t="s">
        <v>157</v>
      </c>
      <c r="B71" s="20" t="s">
        <v>267</v>
      </c>
      <c r="C71" s="18">
        <v>44943</v>
      </c>
      <c r="D71" s="19">
        <v>0.58819444444444446</v>
      </c>
      <c r="E71" s="7" t="s">
        <v>129</v>
      </c>
      <c r="F71" s="16">
        <v>7.58</v>
      </c>
      <c r="G71" s="16">
        <v>9.83</v>
      </c>
      <c r="H71" s="15">
        <v>3000</v>
      </c>
      <c r="I71" s="15">
        <v>500</v>
      </c>
      <c r="J71" s="17" t="s">
        <v>485</v>
      </c>
      <c r="K71" s="15">
        <v>2.1999999999999999E-2</v>
      </c>
      <c r="L71" s="15">
        <v>6.4</v>
      </c>
      <c r="M71" s="15">
        <v>0.03</v>
      </c>
      <c r="N71" s="15">
        <v>6.7</v>
      </c>
      <c r="O71" s="15">
        <v>2.2999999999999998</v>
      </c>
      <c r="P71" s="17">
        <v>266.87771054530032</v>
      </c>
      <c r="Q71" s="17">
        <f t="shared" si="1"/>
        <v>325.39402821566858</v>
      </c>
      <c r="R71" s="15">
        <v>0.75</v>
      </c>
      <c r="S71" s="15">
        <v>150</v>
      </c>
      <c r="T71" s="15" t="s">
        <v>486</v>
      </c>
      <c r="U71" s="15">
        <v>68</v>
      </c>
      <c r="V71" s="15">
        <v>200</v>
      </c>
      <c r="W71" s="15">
        <v>1700</v>
      </c>
    </row>
    <row r="72" spans="1:23" x14ac:dyDescent="0.25">
      <c r="A72" s="7" t="s">
        <v>269</v>
      </c>
      <c r="B72" s="7" t="s">
        <v>270</v>
      </c>
      <c r="C72" s="18">
        <v>44944</v>
      </c>
      <c r="D72" s="19">
        <v>0.3520833333333333</v>
      </c>
      <c r="E72" s="7" t="s">
        <v>129</v>
      </c>
      <c r="F72" s="16">
        <v>7.625</v>
      </c>
      <c r="G72" s="16">
        <v>37.6</v>
      </c>
      <c r="H72" s="15">
        <v>13000</v>
      </c>
      <c r="I72" s="15">
        <v>1900</v>
      </c>
      <c r="J72" s="15">
        <v>9.3000000000000007</v>
      </c>
      <c r="K72" s="15">
        <v>5.0999999999999997E-2</v>
      </c>
      <c r="L72" s="17" t="s">
        <v>487</v>
      </c>
      <c r="M72" s="15">
        <v>0.09</v>
      </c>
      <c r="N72" s="15">
        <v>9.5</v>
      </c>
      <c r="O72" s="15">
        <v>2.6</v>
      </c>
      <c r="P72" s="17">
        <v>375.65544058993856</v>
      </c>
      <c r="Q72" s="17">
        <f t="shared" si="1"/>
        <v>458.02265309055593</v>
      </c>
      <c r="R72" s="15">
        <v>3.2</v>
      </c>
      <c r="S72" s="15">
        <v>380</v>
      </c>
      <c r="T72" s="15">
        <v>0.84</v>
      </c>
      <c r="U72" s="15">
        <v>300</v>
      </c>
      <c r="V72" s="15">
        <v>900</v>
      </c>
      <c r="W72" s="15">
        <v>7400</v>
      </c>
    </row>
    <row r="73" spans="1:23" x14ac:dyDescent="0.25">
      <c r="A73" s="7" t="s">
        <v>271</v>
      </c>
      <c r="B73" s="7" t="s">
        <v>272</v>
      </c>
      <c r="C73" s="18">
        <v>44944</v>
      </c>
      <c r="D73" s="19">
        <v>0.36458333333333331</v>
      </c>
      <c r="E73" s="7" t="s">
        <v>129</v>
      </c>
      <c r="F73" s="16">
        <v>7.5250000000000004</v>
      </c>
      <c r="G73" s="16">
        <v>33.4</v>
      </c>
      <c r="H73" s="15">
        <v>13000</v>
      </c>
      <c r="I73" s="15">
        <v>2000</v>
      </c>
      <c r="J73" s="15">
        <v>17</v>
      </c>
      <c r="K73" s="15">
        <v>0.11</v>
      </c>
      <c r="L73" s="17" t="s">
        <v>487</v>
      </c>
      <c r="M73" s="15">
        <v>0.12</v>
      </c>
      <c r="N73" s="15">
        <v>17</v>
      </c>
      <c r="O73" s="15">
        <v>2.6</v>
      </c>
      <c r="P73" s="17">
        <v>313.43438887132163</v>
      </c>
      <c r="Q73" s="17">
        <f t="shared" si="1"/>
        <v>382.15884783995011</v>
      </c>
      <c r="R73" s="15">
        <v>2.1</v>
      </c>
      <c r="S73" s="15">
        <v>350</v>
      </c>
      <c r="T73" s="15">
        <v>0.14000000000000001</v>
      </c>
      <c r="U73" s="15">
        <v>250</v>
      </c>
      <c r="V73" s="15">
        <v>790</v>
      </c>
      <c r="W73" s="15">
        <v>6500</v>
      </c>
    </row>
    <row r="74" spans="1:23" x14ac:dyDescent="0.25">
      <c r="A74" s="7" t="s">
        <v>273</v>
      </c>
      <c r="B74" s="7" t="s">
        <v>274</v>
      </c>
      <c r="C74" s="18">
        <v>44944</v>
      </c>
      <c r="D74" s="19">
        <v>0.375</v>
      </c>
      <c r="E74" s="7" t="s">
        <v>129</v>
      </c>
      <c r="F74" s="16">
        <v>7.49</v>
      </c>
      <c r="G74" s="16">
        <v>54</v>
      </c>
      <c r="H74" s="15">
        <v>20000</v>
      </c>
      <c r="I74" s="15">
        <v>2700</v>
      </c>
      <c r="J74" s="15">
        <v>1</v>
      </c>
      <c r="K74" s="15">
        <v>0.16</v>
      </c>
      <c r="L74" s="17" t="s">
        <v>487</v>
      </c>
      <c r="M74" s="15">
        <v>0.17</v>
      </c>
      <c r="N74" s="15">
        <v>1.1000000000000001</v>
      </c>
      <c r="O74" s="15">
        <v>1.1000000000000001</v>
      </c>
      <c r="P74" s="17">
        <v>133.75862455018185</v>
      </c>
      <c r="Q74" s="17">
        <f t="shared" si="1"/>
        <v>163.08689684889592</v>
      </c>
      <c r="R74" s="15">
        <v>5.2</v>
      </c>
      <c r="S74" s="15">
        <v>430</v>
      </c>
      <c r="T74" s="15">
        <v>0.02</v>
      </c>
      <c r="U74" s="15">
        <v>450</v>
      </c>
      <c r="V74" s="15">
        <v>1300</v>
      </c>
      <c r="W74" s="15">
        <v>11000</v>
      </c>
    </row>
    <row r="75" spans="1:23" x14ac:dyDescent="0.25">
      <c r="A75" s="7" t="s">
        <v>275</v>
      </c>
      <c r="B75" s="7" t="s">
        <v>276</v>
      </c>
      <c r="C75" s="18">
        <v>44944</v>
      </c>
      <c r="D75" s="19">
        <v>0.37916666666666665</v>
      </c>
      <c r="E75" s="7" t="s">
        <v>129</v>
      </c>
      <c r="F75" s="16">
        <v>7.56</v>
      </c>
      <c r="G75" s="16">
        <v>52.8</v>
      </c>
      <c r="H75" s="15">
        <v>22000</v>
      </c>
      <c r="I75" s="15">
        <v>2800</v>
      </c>
      <c r="J75" s="15">
        <v>3.7</v>
      </c>
      <c r="K75" s="15">
        <v>0.19</v>
      </c>
      <c r="L75" s="17" t="s">
        <v>487</v>
      </c>
      <c r="M75" s="15">
        <v>0.21</v>
      </c>
      <c r="N75" s="15">
        <v>4</v>
      </c>
      <c r="O75" s="15">
        <v>1.2</v>
      </c>
      <c r="P75" s="17">
        <v>153.72259836364182</v>
      </c>
      <c r="Q75" s="17">
        <f t="shared" si="1"/>
        <v>187.42822473679084</v>
      </c>
      <c r="R75" s="15">
        <v>5.3</v>
      </c>
      <c r="S75" s="15">
        <v>420</v>
      </c>
      <c r="T75" s="15">
        <v>0.02</v>
      </c>
      <c r="U75" s="15">
        <v>450</v>
      </c>
      <c r="V75" s="15">
        <v>1300</v>
      </c>
      <c r="W75" s="15">
        <v>11000</v>
      </c>
    </row>
    <row r="76" spans="1:23" x14ac:dyDescent="0.25">
      <c r="A76" s="7" t="s">
        <v>277</v>
      </c>
      <c r="B76" s="7" t="s">
        <v>278</v>
      </c>
      <c r="C76" s="18">
        <v>44944</v>
      </c>
      <c r="D76" s="19">
        <v>0.38611111111111113</v>
      </c>
      <c r="E76" s="7" t="s">
        <v>129</v>
      </c>
      <c r="F76" s="16">
        <v>7.59</v>
      </c>
      <c r="G76" s="16">
        <v>53.5</v>
      </c>
      <c r="H76" s="15">
        <v>20000</v>
      </c>
      <c r="I76" s="15">
        <v>2800</v>
      </c>
      <c r="J76" s="15">
        <v>2.9</v>
      </c>
      <c r="K76" s="15">
        <v>9.0999999999999998E-2</v>
      </c>
      <c r="L76" s="17" t="s">
        <v>487</v>
      </c>
      <c r="M76" s="15">
        <v>0.11</v>
      </c>
      <c r="N76" s="15">
        <v>3.2</v>
      </c>
      <c r="O76" s="15">
        <v>1.6</v>
      </c>
      <c r="P76" s="17">
        <v>167.69738003306378</v>
      </c>
      <c r="Q76" s="17">
        <f t="shared" si="1"/>
        <v>204.46715425831724</v>
      </c>
      <c r="R76" s="15">
        <v>5.4</v>
      </c>
      <c r="S76" s="15">
        <v>420</v>
      </c>
      <c r="T76" s="15">
        <v>0.02</v>
      </c>
      <c r="U76" s="15">
        <v>440</v>
      </c>
      <c r="V76" s="15">
        <v>1300</v>
      </c>
      <c r="W76" s="15">
        <v>11000</v>
      </c>
    </row>
    <row r="77" spans="1:23" x14ac:dyDescent="0.25">
      <c r="A77" s="7" t="s">
        <v>279</v>
      </c>
      <c r="B77" s="7" t="s">
        <v>280</v>
      </c>
      <c r="C77" s="18">
        <v>44944</v>
      </c>
      <c r="D77" s="19">
        <v>0.3923611111111111</v>
      </c>
      <c r="E77" s="7" t="s">
        <v>129</v>
      </c>
      <c r="F77" s="16">
        <v>7.48</v>
      </c>
      <c r="G77" s="16">
        <v>44.5</v>
      </c>
      <c r="H77" s="15">
        <v>16000</v>
      </c>
      <c r="I77" s="15">
        <v>2300</v>
      </c>
      <c r="J77" s="15">
        <v>12</v>
      </c>
      <c r="K77" s="15">
        <v>0.28999999999999998</v>
      </c>
      <c r="L77" s="17" t="s">
        <v>487</v>
      </c>
      <c r="M77" s="15">
        <v>0.3</v>
      </c>
      <c r="N77" s="15">
        <v>12</v>
      </c>
      <c r="O77" s="15">
        <v>1.4</v>
      </c>
      <c r="P77" s="17">
        <v>204.13163224262826</v>
      </c>
      <c r="Q77" s="17">
        <f t="shared" si="1"/>
        <v>248.89007765372546</v>
      </c>
      <c r="R77" s="15">
        <v>4.4000000000000004</v>
      </c>
      <c r="S77" s="15">
        <v>360</v>
      </c>
      <c r="T77" s="15">
        <v>0.02</v>
      </c>
      <c r="U77" s="15">
        <v>360</v>
      </c>
      <c r="V77" s="15">
        <v>1100</v>
      </c>
      <c r="W77" s="15">
        <v>8800</v>
      </c>
    </row>
    <row r="78" spans="1:23" x14ac:dyDescent="0.25">
      <c r="A78" s="7" t="s">
        <v>281</v>
      </c>
      <c r="B78" s="7" t="s">
        <v>282</v>
      </c>
      <c r="C78" s="18">
        <v>44944</v>
      </c>
      <c r="D78" s="19">
        <v>0.39930555555555558</v>
      </c>
      <c r="E78" s="7" t="s">
        <v>129</v>
      </c>
      <c r="F78" s="16">
        <v>7.64</v>
      </c>
      <c r="G78" s="16">
        <v>53.6</v>
      </c>
      <c r="H78" s="15">
        <v>20000</v>
      </c>
      <c r="I78" s="15">
        <v>2800</v>
      </c>
      <c r="J78" s="15">
        <v>1.5</v>
      </c>
      <c r="K78" s="15">
        <v>0.05</v>
      </c>
      <c r="L78" s="15">
        <v>1.7000000000000001E-2</v>
      </c>
      <c r="M78" s="15">
        <v>0.05</v>
      </c>
      <c r="N78" s="15">
        <v>1.5</v>
      </c>
      <c r="O78" s="15">
        <v>1</v>
      </c>
      <c r="P78" s="17">
        <v>128.76763109681684</v>
      </c>
      <c r="Q78" s="17">
        <f t="shared" si="1"/>
        <v>157.00156487692217</v>
      </c>
      <c r="R78" s="15">
        <v>5.2</v>
      </c>
      <c r="S78" s="15">
        <v>430</v>
      </c>
      <c r="T78" s="15">
        <v>0.02</v>
      </c>
      <c r="U78" s="15">
        <v>450</v>
      </c>
      <c r="V78" s="15">
        <v>1300</v>
      </c>
      <c r="W78" s="15">
        <v>11000</v>
      </c>
    </row>
    <row r="79" spans="1:23" x14ac:dyDescent="0.25">
      <c r="A79" s="20" t="s">
        <v>281</v>
      </c>
      <c r="B79" s="20" t="s">
        <v>283</v>
      </c>
      <c r="C79" s="18">
        <v>44944</v>
      </c>
      <c r="D79" s="19">
        <v>0.39999999999999997</v>
      </c>
      <c r="E79" s="7" t="s">
        <v>129</v>
      </c>
      <c r="F79" s="16">
        <v>7.46</v>
      </c>
      <c r="G79" s="16">
        <v>53.5</v>
      </c>
      <c r="H79" s="15">
        <v>20000</v>
      </c>
      <c r="I79" s="15">
        <v>2800</v>
      </c>
      <c r="J79" s="15">
        <v>1.6</v>
      </c>
      <c r="K79" s="15">
        <v>4.5999999999999999E-2</v>
      </c>
      <c r="L79" s="15">
        <v>8.0000000000000002E-3</v>
      </c>
      <c r="M79" s="15">
        <v>0.06</v>
      </c>
      <c r="N79" s="15">
        <v>2.8</v>
      </c>
      <c r="O79" s="15">
        <v>1.1000000000000001</v>
      </c>
      <c r="P79" s="17">
        <v>121.78024026210585</v>
      </c>
      <c r="Q79" s="17">
        <f t="shared" si="1"/>
        <v>148.48210011615896</v>
      </c>
      <c r="R79" s="15">
        <v>5.3</v>
      </c>
      <c r="S79" s="15">
        <v>430</v>
      </c>
      <c r="T79" s="15">
        <v>0.02</v>
      </c>
      <c r="U79" s="15">
        <v>450</v>
      </c>
      <c r="V79" s="15">
        <v>1400</v>
      </c>
      <c r="W79" s="15">
        <v>11000</v>
      </c>
    </row>
    <row r="80" spans="1:23" x14ac:dyDescent="0.25">
      <c r="A80" s="7" t="s">
        <v>285</v>
      </c>
      <c r="B80" s="7" t="s">
        <v>286</v>
      </c>
      <c r="C80" s="18">
        <v>44944</v>
      </c>
      <c r="D80" s="19">
        <v>0.40625</v>
      </c>
      <c r="E80" s="7" t="s">
        <v>129</v>
      </c>
      <c r="F80" s="16">
        <v>7.46</v>
      </c>
      <c r="G80" s="16">
        <v>15.88</v>
      </c>
      <c r="H80" s="15">
        <v>4800</v>
      </c>
      <c r="I80" s="15">
        <v>930</v>
      </c>
      <c r="J80" s="15">
        <v>27</v>
      </c>
      <c r="K80" s="15">
        <v>1.0999999999999999E-2</v>
      </c>
      <c r="L80" s="17" t="s">
        <v>487</v>
      </c>
      <c r="M80" s="15">
        <v>0.03</v>
      </c>
      <c r="N80" s="15">
        <v>39</v>
      </c>
      <c r="O80" s="15">
        <v>2.7</v>
      </c>
      <c r="P80" s="17">
        <v>298.96050785656314</v>
      </c>
      <c r="Q80" s="17">
        <f t="shared" si="1"/>
        <v>364.51138512122634</v>
      </c>
      <c r="R80" s="15">
        <v>1.3</v>
      </c>
      <c r="S80" s="15">
        <v>220</v>
      </c>
      <c r="T80" s="15">
        <v>1</v>
      </c>
      <c r="U80" s="15">
        <v>110</v>
      </c>
      <c r="V80" s="15">
        <v>350</v>
      </c>
      <c r="W80" s="15">
        <v>2800</v>
      </c>
    </row>
    <row r="81" spans="1:23" x14ac:dyDescent="0.25">
      <c r="A81" s="7" t="s">
        <v>287</v>
      </c>
      <c r="B81" s="7" t="s">
        <v>288</v>
      </c>
      <c r="C81" s="18">
        <v>44944</v>
      </c>
      <c r="D81" s="19">
        <v>0.43194444444444446</v>
      </c>
      <c r="E81" s="7" t="s">
        <v>129</v>
      </c>
      <c r="F81" s="16">
        <v>7.48</v>
      </c>
      <c r="G81" s="16">
        <v>7.85</v>
      </c>
      <c r="H81" s="15">
        <v>2200</v>
      </c>
      <c r="I81" s="15">
        <v>520</v>
      </c>
      <c r="J81" s="15">
        <v>4.9000000000000004</v>
      </c>
      <c r="K81" s="15">
        <v>1.7000000000000001E-2</v>
      </c>
      <c r="L81" s="17" t="s">
        <v>487</v>
      </c>
      <c r="M81" s="15">
        <v>0.04</v>
      </c>
      <c r="N81" s="15">
        <v>5.5</v>
      </c>
      <c r="O81" s="15">
        <v>6.4</v>
      </c>
      <c r="P81" s="17">
        <v>448.19121211217652</v>
      </c>
      <c r="Q81" s="17">
        <f t="shared" si="1"/>
        <v>546.46281108324081</v>
      </c>
      <c r="R81" s="15">
        <v>0.72</v>
      </c>
      <c r="S81" s="15">
        <v>150</v>
      </c>
      <c r="T81" s="15">
        <v>0.63</v>
      </c>
      <c r="U81" s="15">
        <v>53</v>
      </c>
      <c r="V81" s="15">
        <v>180</v>
      </c>
      <c r="W81" s="15">
        <v>1200</v>
      </c>
    </row>
    <row r="82" spans="1:23" x14ac:dyDescent="0.25">
      <c r="A82" s="7" t="s">
        <v>289</v>
      </c>
      <c r="B82" s="7" t="s">
        <v>290</v>
      </c>
      <c r="C82" s="18">
        <v>44944</v>
      </c>
      <c r="D82" s="19">
        <v>0.44791666666666669</v>
      </c>
      <c r="E82" s="7" t="s">
        <v>129</v>
      </c>
      <c r="F82" s="16">
        <v>7.48</v>
      </c>
      <c r="G82" s="16">
        <v>51.5</v>
      </c>
      <c r="H82" s="15">
        <v>19000</v>
      </c>
      <c r="I82" s="15">
        <v>2600</v>
      </c>
      <c r="J82" s="15">
        <v>1.6</v>
      </c>
      <c r="K82" s="15">
        <v>8.5000000000000006E-2</v>
      </c>
      <c r="L82" s="17" t="s">
        <v>487</v>
      </c>
      <c r="M82" s="15">
        <v>0.09</v>
      </c>
      <c r="N82" s="15">
        <v>1.6</v>
      </c>
      <c r="O82" s="15">
        <v>3.7</v>
      </c>
      <c r="P82" s="17">
        <v>203.13343355195528</v>
      </c>
      <c r="Q82" s="17">
        <f t="shared" si="1"/>
        <v>247.67301125933076</v>
      </c>
      <c r="R82" s="15">
        <v>5.0999999999999996</v>
      </c>
      <c r="S82" s="15">
        <v>420</v>
      </c>
      <c r="T82" s="15">
        <v>0.02</v>
      </c>
      <c r="U82" s="15">
        <v>430</v>
      </c>
      <c r="V82" s="15">
        <v>1300</v>
      </c>
      <c r="W82" s="15">
        <v>10000</v>
      </c>
    </row>
    <row r="83" spans="1:23" x14ac:dyDescent="0.25">
      <c r="A83" s="7" t="s">
        <v>291</v>
      </c>
      <c r="B83" s="7" t="s">
        <v>292</v>
      </c>
      <c r="C83" s="18">
        <v>44944</v>
      </c>
      <c r="D83" s="19">
        <v>0.52222222222222225</v>
      </c>
      <c r="E83" s="7" t="s">
        <v>129</v>
      </c>
      <c r="F83" s="16">
        <v>7.83</v>
      </c>
      <c r="G83" s="16">
        <v>51</v>
      </c>
      <c r="H83" s="15">
        <v>19000</v>
      </c>
      <c r="I83" s="15">
        <v>2600</v>
      </c>
      <c r="J83" s="15">
        <v>1.2999999999999999E-2</v>
      </c>
      <c r="K83" s="15">
        <v>4.9000000000000002E-2</v>
      </c>
      <c r="L83" s="15">
        <v>0.27</v>
      </c>
      <c r="M83" s="15">
        <v>0.06</v>
      </c>
      <c r="N83" s="15">
        <v>0.7</v>
      </c>
      <c r="O83" s="15">
        <v>0.8</v>
      </c>
      <c r="P83" s="17">
        <v>136.25412127686434</v>
      </c>
      <c r="Q83" s="17">
        <f t="shared" si="1"/>
        <v>166.12956283488276</v>
      </c>
      <c r="R83" s="15">
        <v>5.0999999999999996</v>
      </c>
      <c r="S83" s="15">
        <v>390</v>
      </c>
      <c r="T83" s="15" t="s">
        <v>486</v>
      </c>
      <c r="U83" s="15">
        <v>420</v>
      </c>
      <c r="V83" s="15">
        <v>1200</v>
      </c>
      <c r="W83" s="15">
        <v>10000</v>
      </c>
    </row>
    <row r="84" spans="1:23" x14ac:dyDescent="0.25">
      <c r="A84" s="7" t="s">
        <v>293</v>
      </c>
      <c r="B84" s="7" t="s">
        <v>294</v>
      </c>
      <c r="C84" s="18">
        <v>44944</v>
      </c>
      <c r="D84" s="19">
        <v>0.53194444444444444</v>
      </c>
      <c r="E84" s="7" t="s">
        <v>129</v>
      </c>
      <c r="F84" s="16">
        <v>7.78</v>
      </c>
      <c r="G84" s="16">
        <v>49.2</v>
      </c>
      <c r="H84" s="15">
        <v>18000</v>
      </c>
      <c r="I84" s="15">
        <v>2600</v>
      </c>
      <c r="J84" s="17" t="s">
        <v>485</v>
      </c>
      <c r="K84" s="15">
        <v>4.8000000000000001E-2</v>
      </c>
      <c r="L84" s="15">
        <v>0.37</v>
      </c>
      <c r="M84" s="15">
        <v>0.05</v>
      </c>
      <c r="N84" s="15">
        <v>0.6</v>
      </c>
      <c r="O84" s="15">
        <v>1</v>
      </c>
      <c r="P84" s="17">
        <v>156.71719443566082</v>
      </c>
      <c r="Q84" s="17">
        <f t="shared" si="1"/>
        <v>191.07942391997506</v>
      </c>
      <c r="R84" s="15">
        <v>4.9000000000000004</v>
      </c>
      <c r="S84" s="15">
        <v>390</v>
      </c>
      <c r="T84" s="15" t="s">
        <v>486</v>
      </c>
      <c r="U84" s="15">
        <v>410</v>
      </c>
      <c r="V84" s="15">
        <v>1200</v>
      </c>
      <c r="W84" s="15">
        <v>10000</v>
      </c>
    </row>
    <row r="85" spans="1:23" x14ac:dyDescent="0.25">
      <c r="A85" s="7" t="s">
        <v>295</v>
      </c>
      <c r="B85" s="7" t="s">
        <v>296</v>
      </c>
      <c r="C85" s="18">
        <v>44944</v>
      </c>
      <c r="D85" s="19">
        <v>0.54375000000000007</v>
      </c>
      <c r="E85" s="7" t="s">
        <v>129</v>
      </c>
      <c r="F85" s="16">
        <v>7.73</v>
      </c>
      <c r="G85" s="16">
        <v>46.7</v>
      </c>
      <c r="H85" s="15">
        <v>17000</v>
      </c>
      <c r="I85" s="15">
        <v>2400</v>
      </c>
      <c r="J85" s="17" t="s">
        <v>485</v>
      </c>
      <c r="K85" s="15">
        <v>7.0999999999999994E-2</v>
      </c>
      <c r="L85" s="15">
        <v>1.1000000000000001</v>
      </c>
      <c r="M85" s="15">
        <v>0.08</v>
      </c>
      <c r="N85" s="15">
        <v>1.3</v>
      </c>
      <c r="O85" s="15">
        <v>2.8</v>
      </c>
      <c r="P85" s="17">
        <v>240.56588445219273</v>
      </c>
      <c r="Q85" s="17">
        <f t="shared" si="1"/>
        <v>293.31300104913367</v>
      </c>
      <c r="R85" s="15">
        <v>4.2</v>
      </c>
      <c r="S85" s="15">
        <v>360</v>
      </c>
      <c r="T85" s="15" t="s">
        <v>486</v>
      </c>
      <c r="U85" s="15">
        <v>370</v>
      </c>
      <c r="V85" s="15">
        <v>1100</v>
      </c>
      <c r="W85" s="15">
        <v>9100</v>
      </c>
    </row>
    <row r="86" spans="1:23" x14ac:dyDescent="0.25">
      <c r="A86" s="7" t="s">
        <v>297</v>
      </c>
      <c r="B86" s="7" t="s">
        <v>298</v>
      </c>
      <c r="C86" s="18">
        <v>44944</v>
      </c>
      <c r="D86" s="19">
        <v>0.55277777777777781</v>
      </c>
      <c r="E86" s="7" t="s">
        <v>129</v>
      </c>
      <c r="F86" s="16">
        <v>7.63</v>
      </c>
      <c r="G86" s="16">
        <v>25.3</v>
      </c>
      <c r="H86" s="15">
        <v>8400</v>
      </c>
      <c r="I86" s="15">
        <v>1200</v>
      </c>
      <c r="J86" s="15">
        <v>0.46</v>
      </c>
      <c r="K86" s="15">
        <v>6.2E-2</v>
      </c>
      <c r="L86" s="17" t="s">
        <v>487</v>
      </c>
      <c r="M86" s="15">
        <v>0.06</v>
      </c>
      <c r="N86" s="15">
        <v>0.7</v>
      </c>
      <c r="O86" s="15">
        <v>3.8</v>
      </c>
      <c r="P86" s="17">
        <v>321.80024456458108</v>
      </c>
      <c r="Q86" s="17">
        <f t="shared" si="1"/>
        <v>392.35902333582993</v>
      </c>
      <c r="R86" s="15">
        <v>3</v>
      </c>
      <c r="S86" s="15">
        <v>210</v>
      </c>
      <c r="T86" s="15" t="s">
        <v>486</v>
      </c>
      <c r="U86" s="15">
        <v>200</v>
      </c>
      <c r="V86" s="15">
        <v>620</v>
      </c>
      <c r="W86" s="15">
        <v>4700</v>
      </c>
    </row>
    <row r="87" spans="1:23" x14ac:dyDescent="0.25">
      <c r="A87" s="20" t="s">
        <v>297</v>
      </c>
      <c r="B87" s="20" t="s">
        <v>299</v>
      </c>
      <c r="C87" s="18">
        <v>44944</v>
      </c>
      <c r="D87" s="19">
        <v>0.55625000000000002</v>
      </c>
      <c r="E87" s="7" t="s">
        <v>172</v>
      </c>
      <c r="F87" s="16">
        <v>8.2799999999999994</v>
      </c>
      <c r="G87" s="16">
        <v>54.5</v>
      </c>
      <c r="H87" s="15">
        <v>22000</v>
      </c>
      <c r="I87" s="15">
        <v>3100</v>
      </c>
      <c r="J87" s="15">
        <v>8.2000000000000003E-2</v>
      </c>
      <c r="K87" s="17" t="s">
        <v>487</v>
      </c>
      <c r="L87" s="15">
        <v>2.8000000000000001E-2</v>
      </c>
      <c r="M87" s="15">
        <v>0.01</v>
      </c>
      <c r="N87" s="15">
        <v>0.2</v>
      </c>
      <c r="O87" s="15">
        <v>1.5</v>
      </c>
      <c r="P87" s="17">
        <v>117.78744549941385</v>
      </c>
      <c r="Q87" s="17">
        <f t="shared" si="1"/>
        <v>143.61383453857997</v>
      </c>
      <c r="R87" s="15">
        <v>5.4</v>
      </c>
      <c r="S87" s="15">
        <v>440</v>
      </c>
      <c r="T87" s="15" t="s">
        <v>486</v>
      </c>
      <c r="U87" s="15">
        <v>460</v>
      </c>
      <c r="V87" s="15">
        <v>1400</v>
      </c>
      <c r="W87" s="15">
        <v>11000</v>
      </c>
    </row>
    <row r="88" spans="1:23" x14ac:dyDescent="0.25">
      <c r="A88" s="7" t="s">
        <v>300</v>
      </c>
      <c r="B88" s="7" t="s">
        <v>301</v>
      </c>
      <c r="C88" s="18">
        <v>44945</v>
      </c>
      <c r="D88" s="19">
        <v>0.3888888888888889</v>
      </c>
      <c r="E88" s="7" t="s">
        <v>129</v>
      </c>
      <c r="F88" s="16">
        <v>7.5750000000000002</v>
      </c>
      <c r="G88" s="16">
        <v>15.61</v>
      </c>
      <c r="H88" s="15">
        <v>4600</v>
      </c>
      <c r="I88" s="15">
        <v>810</v>
      </c>
      <c r="J88" s="15">
        <v>22</v>
      </c>
      <c r="K88" s="15">
        <v>9.5000000000000001E-2</v>
      </c>
      <c r="L88" s="15">
        <v>13</v>
      </c>
      <c r="M88" s="15">
        <v>0.11</v>
      </c>
      <c r="N88" s="15">
        <v>37</v>
      </c>
      <c r="O88" s="15">
        <v>3.4</v>
      </c>
      <c r="P88" s="17">
        <v>313.73390331174636</v>
      </c>
      <c r="Q88" s="17">
        <f t="shared" si="1"/>
        <v>382.52403461436984</v>
      </c>
      <c r="R88" s="15">
        <v>1.6</v>
      </c>
      <c r="S88" s="15">
        <v>220</v>
      </c>
      <c r="T88" s="15" t="s">
        <v>486</v>
      </c>
      <c r="U88" s="15">
        <v>120</v>
      </c>
      <c r="V88" s="15">
        <v>370</v>
      </c>
      <c r="W88" s="15">
        <v>2500</v>
      </c>
    </row>
    <row r="89" spans="1:23" x14ac:dyDescent="0.25">
      <c r="A89" s="7" t="s">
        <v>302</v>
      </c>
      <c r="B89" s="7" t="s">
        <v>303</v>
      </c>
      <c r="C89" s="18">
        <v>44945</v>
      </c>
      <c r="D89" s="19">
        <v>0.40208333333333335</v>
      </c>
      <c r="E89" s="7" t="s">
        <v>129</v>
      </c>
      <c r="F89" s="16">
        <v>7.835</v>
      </c>
      <c r="G89" s="16">
        <v>53.9</v>
      </c>
      <c r="H89" s="15">
        <v>21000</v>
      </c>
      <c r="I89" s="15">
        <v>2900</v>
      </c>
      <c r="J89" s="15">
        <v>0.91</v>
      </c>
      <c r="K89" s="15">
        <v>7.5999999999999998E-2</v>
      </c>
      <c r="L89" s="17" t="s">
        <v>487</v>
      </c>
      <c r="M89" s="15">
        <v>0.09</v>
      </c>
      <c r="N89" s="15">
        <v>1.4</v>
      </c>
      <c r="O89" s="15">
        <v>2.6</v>
      </c>
      <c r="P89" s="17">
        <v>174.61595359847476</v>
      </c>
      <c r="Q89" s="17">
        <f t="shared" si="1"/>
        <v>212.90271269201182</v>
      </c>
      <c r="R89" s="15">
        <v>5.4</v>
      </c>
      <c r="S89" s="15">
        <v>410</v>
      </c>
      <c r="T89" s="15">
        <v>0.09</v>
      </c>
      <c r="U89" s="15">
        <v>440</v>
      </c>
      <c r="V89" s="15">
        <v>1300</v>
      </c>
      <c r="W89" s="15">
        <v>11000</v>
      </c>
    </row>
    <row r="90" spans="1:23" x14ac:dyDescent="0.25">
      <c r="A90" s="7" t="s">
        <v>304</v>
      </c>
      <c r="B90" s="7" t="s">
        <v>305</v>
      </c>
      <c r="C90" s="18">
        <v>44945</v>
      </c>
      <c r="D90" s="19">
        <v>0.40833333333333338</v>
      </c>
      <c r="E90" s="7" t="s">
        <v>129</v>
      </c>
      <c r="F90" s="16">
        <v>7.79</v>
      </c>
      <c r="G90" s="16">
        <v>52.7</v>
      </c>
      <c r="H90" s="15">
        <v>19000</v>
      </c>
      <c r="I90" s="15">
        <v>2700</v>
      </c>
      <c r="J90" s="15">
        <v>2.4</v>
      </c>
      <c r="K90" s="15">
        <v>0.13</v>
      </c>
      <c r="L90" s="17" t="s">
        <v>487</v>
      </c>
      <c r="M90" s="15">
        <v>0.14000000000000001</v>
      </c>
      <c r="N90" s="15">
        <v>2.4</v>
      </c>
      <c r="O90" s="15">
        <v>1.2</v>
      </c>
      <c r="P90" s="17">
        <v>238.19643274514897</v>
      </c>
      <c r="Q90" s="17">
        <f t="shared" si="1"/>
        <v>290.42401704952545</v>
      </c>
      <c r="R90" s="15">
        <v>5.3</v>
      </c>
      <c r="S90" s="15">
        <v>410</v>
      </c>
      <c r="T90" s="15">
        <v>0.16</v>
      </c>
      <c r="U90" s="15">
        <v>440</v>
      </c>
      <c r="V90" s="15">
        <v>1300</v>
      </c>
      <c r="W90" s="15">
        <v>11000</v>
      </c>
    </row>
    <row r="91" spans="1:23" x14ac:dyDescent="0.25">
      <c r="A91" s="7" t="s">
        <v>306</v>
      </c>
      <c r="B91" s="7" t="s">
        <v>307</v>
      </c>
      <c r="C91" s="18">
        <v>44945</v>
      </c>
      <c r="D91" s="19">
        <v>0.41875000000000001</v>
      </c>
      <c r="E91" s="7" t="s">
        <v>129</v>
      </c>
      <c r="F91" s="16">
        <v>7.8150000000000004</v>
      </c>
      <c r="G91" s="16">
        <v>53.8</v>
      </c>
      <c r="H91" s="15">
        <v>21000</v>
      </c>
      <c r="I91" s="15">
        <v>2800</v>
      </c>
      <c r="J91" s="15">
        <v>1.3</v>
      </c>
      <c r="K91" s="15">
        <v>0.15</v>
      </c>
      <c r="L91" s="17" t="s">
        <v>487</v>
      </c>
      <c r="M91" s="15">
        <v>0.14000000000000001</v>
      </c>
      <c r="N91" s="15">
        <v>1.4</v>
      </c>
      <c r="O91" s="15">
        <v>1</v>
      </c>
      <c r="P91" s="17">
        <v>174.61595359847476</v>
      </c>
      <c r="Q91" s="17">
        <f t="shared" si="1"/>
        <v>212.90271269201182</v>
      </c>
      <c r="R91" s="15">
        <v>5.3</v>
      </c>
      <c r="S91" s="15">
        <v>430</v>
      </c>
      <c r="T91" s="15">
        <v>0.06</v>
      </c>
      <c r="U91" s="15">
        <v>450</v>
      </c>
      <c r="V91" s="15">
        <v>1400</v>
      </c>
      <c r="W91" s="15">
        <v>11000</v>
      </c>
    </row>
    <row r="92" spans="1:23" x14ac:dyDescent="0.25">
      <c r="A92" s="20" t="s">
        <v>308</v>
      </c>
      <c r="B92" s="20" t="s">
        <v>309</v>
      </c>
      <c r="C92" s="18">
        <v>44945</v>
      </c>
      <c r="D92" s="19">
        <v>0.41944444444444445</v>
      </c>
      <c r="E92" s="7" t="s">
        <v>129</v>
      </c>
      <c r="F92" s="16">
        <v>7.8</v>
      </c>
      <c r="G92" s="16">
        <v>53.8</v>
      </c>
      <c r="H92" s="15">
        <v>20000</v>
      </c>
      <c r="I92" s="15">
        <v>2600</v>
      </c>
      <c r="J92" s="15">
        <v>1.4</v>
      </c>
      <c r="K92" s="15">
        <v>0.15</v>
      </c>
      <c r="L92" s="15">
        <v>7.0000000000000001E-3</v>
      </c>
      <c r="M92" s="15">
        <v>0.17</v>
      </c>
      <c r="N92" s="15">
        <v>1.6</v>
      </c>
      <c r="O92" s="15">
        <v>1</v>
      </c>
      <c r="P92" s="17">
        <v>170.28510936674476</v>
      </c>
      <c r="Q92" s="17">
        <f t="shared" si="1"/>
        <v>207.6222760183841</v>
      </c>
      <c r="R92" s="15">
        <v>5.3</v>
      </c>
      <c r="S92" s="15">
        <v>430</v>
      </c>
      <c r="T92" s="15">
        <v>0.06</v>
      </c>
      <c r="U92" s="15">
        <v>450</v>
      </c>
      <c r="V92" s="15">
        <v>1400</v>
      </c>
      <c r="W92" s="15">
        <v>11000</v>
      </c>
    </row>
    <row r="93" spans="1:23" x14ac:dyDescent="0.25">
      <c r="A93" s="7" t="s">
        <v>308</v>
      </c>
      <c r="B93" s="7" t="s">
        <v>311</v>
      </c>
      <c r="C93" s="18">
        <v>44945</v>
      </c>
      <c r="D93" s="19">
        <v>0.42777777777777781</v>
      </c>
      <c r="E93" s="7" t="s">
        <v>129</v>
      </c>
      <c r="F93" s="16">
        <v>7.7649999999999997</v>
      </c>
      <c r="G93" s="16">
        <v>54.1</v>
      </c>
      <c r="H93" s="15">
        <v>20000</v>
      </c>
      <c r="I93" s="15">
        <v>2700</v>
      </c>
      <c r="J93" s="15">
        <v>1.7</v>
      </c>
      <c r="K93" s="15">
        <v>0.12</v>
      </c>
      <c r="L93" s="15">
        <v>6.0000000000000001E-3</v>
      </c>
      <c r="M93" s="15">
        <v>0.14000000000000001</v>
      </c>
      <c r="N93" s="15">
        <v>1.9</v>
      </c>
      <c r="O93" s="15">
        <v>1.4</v>
      </c>
      <c r="P93" s="17">
        <v>172.81911397041657</v>
      </c>
      <c r="Q93" s="17">
        <f t="shared" si="1"/>
        <v>210.71189322103862</v>
      </c>
      <c r="R93" s="15">
        <v>5.5</v>
      </c>
      <c r="S93" s="15">
        <v>430</v>
      </c>
      <c r="T93" s="15">
        <v>0.05</v>
      </c>
      <c r="U93" s="15">
        <v>450</v>
      </c>
      <c r="V93" s="15">
        <v>1400</v>
      </c>
      <c r="W93" s="15">
        <v>11000</v>
      </c>
    </row>
    <row r="94" spans="1:23" x14ac:dyDescent="0.25">
      <c r="A94" s="7" t="s">
        <v>312</v>
      </c>
      <c r="B94" s="7" t="s">
        <v>313</v>
      </c>
      <c r="C94" s="18">
        <v>44945</v>
      </c>
      <c r="D94" s="19">
        <v>0.43611111111111112</v>
      </c>
      <c r="E94" s="7" t="s">
        <v>129</v>
      </c>
      <c r="F94" s="16">
        <v>7.6449999999999996</v>
      </c>
      <c r="G94" s="16">
        <v>53.7</v>
      </c>
      <c r="H94" s="15">
        <v>20000</v>
      </c>
      <c r="I94" s="15">
        <v>2800</v>
      </c>
      <c r="J94" s="15">
        <v>2.5</v>
      </c>
      <c r="K94" s="15">
        <v>3.1E-2</v>
      </c>
      <c r="L94" s="17" t="s">
        <v>487</v>
      </c>
      <c r="M94" s="15">
        <v>0.14000000000000001</v>
      </c>
      <c r="N94" s="15">
        <v>2.5</v>
      </c>
      <c r="O94" s="15">
        <v>1.6</v>
      </c>
      <c r="P94" s="17">
        <v>250.35965484277358</v>
      </c>
      <c r="Q94" s="17">
        <f t="shared" si="1"/>
        <v>305.25417962226709</v>
      </c>
      <c r="R94" s="15">
        <v>5</v>
      </c>
      <c r="S94" s="15">
        <v>420</v>
      </c>
      <c r="T94" s="15">
        <v>2.2000000000000002</v>
      </c>
      <c r="U94" s="15">
        <v>430</v>
      </c>
      <c r="V94" s="15">
        <v>1300</v>
      </c>
      <c r="W94" s="15">
        <v>11000</v>
      </c>
    </row>
    <row r="95" spans="1:23" x14ac:dyDescent="0.25">
      <c r="A95" s="7" t="s">
        <v>314</v>
      </c>
      <c r="B95" s="7" t="s">
        <v>315</v>
      </c>
      <c r="C95" s="18">
        <v>44945</v>
      </c>
      <c r="D95" s="19">
        <v>0.44305555555555554</v>
      </c>
      <c r="E95" s="7" t="s">
        <v>129</v>
      </c>
      <c r="F95" s="16">
        <v>7.65</v>
      </c>
      <c r="G95" s="16">
        <v>52.2</v>
      </c>
      <c r="H95" s="15">
        <v>19000</v>
      </c>
      <c r="I95" s="15">
        <v>2500</v>
      </c>
      <c r="J95" s="15">
        <v>3.4</v>
      </c>
      <c r="K95" s="15">
        <v>0.23</v>
      </c>
      <c r="L95" s="15">
        <v>6.0000000000000001E-3</v>
      </c>
      <c r="M95" s="15">
        <v>0.25</v>
      </c>
      <c r="N95" s="15">
        <v>3.6</v>
      </c>
      <c r="O95" s="15">
        <v>1.4</v>
      </c>
      <c r="P95" s="17">
        <v>172.81911397041657</v>
      </c>
      <c r="Q95" s="17">
        <f t="shared" si="1"/>
        <v>210.71189322103862</v>
      </c>
      <c r="R95" s="15">
        <v>5.2</v>
      </c>
      <c r="S95" s="15">
        <v>430</v>
      </c>
      <c r="T95" s="15">
        <v>0.02</v>
      </c>
      <c r="U95" s="15">
        <v>450</v>
      </c>
      <c r="V95" s="15">
        <v>1300</v>
      </c>
      <c r="W95" s="15">
        <v>11000</v>
      </c>
    </row>
    <row r="96" spans="1:23" x14ac:dyDescent="0.25">
      <c r="A96" s="20" t="s">
        <v>314</v>
      </c>
      <c r="B96" s="20" t="s">
        <v>317</v>
      </c>
      <c r="C96" s="18">
        <v>44945</v>
      </c>
      <c r="D96" s="19">
        <v>0.4458333333333333</v>
      </c>
      <c r="E96" s="7" t="s">
        <v>172</v>
      </c>
      <c r="F96" s="16">
        <v>8.34</v>
      </c>
      <c r="G96" s="16">
        <v>54.8</v>
      </c>
      <c r="H96" s="15">
        <v>21000</v>
      </c>
      <c r="I96" s="15">
        <v>2700</v>
      </c>
      <c r="J96" s="15">
        <v>0.32</v>
      </c>
      <c r="K96" s="15">
        <v>6.0000000000000001E-3</v>
      </c>
      <c r="L96" s="15">
        <v>5.3999999999999999E-2</v>
      </c>
      <c r="M96" s="15">
        <v>0.01</v>
      </c>
      <c r="N96" s="15">
        <v>0.6</v>
      </c>
      <c r="O96" s="15">
        <v>1.1000000000000001</v>
      </c>
      <c r="P96" s="17">
        <v>130.24783662873037</v>
      </c>
      <c r="Q96" s="17">
        <f t="shared" si="1"/>
        <v>158.80632421644259</v>
      </c>
      <c r="R96" s="15">
        <v>5.4</v>
      </c>
      <c r="S96" s="15">
        <v>440</v>
      </c>
      <c r="T96" s="15" t="s">
        <v>486</v>
      </c>
      <c r="U96" s="15">
        <v>470</v>
      </c>
      <c r="V96" s="15">
        <v>1400</v>
      </c>
      <c r="W96" s="15">
        <v>11000</v>
      </c>
    </row>
    <row r="97" spans="1:23" x14ac:dyDescent="0.25">
      <c r="A97" s="20" t="s">
        <v>157</v>
      </c>
      <c r="B97" s="20" t="s">
        <v>318</v>
      </c>
      <c r="C97" s="18">
        <v>44945</v>
      </c>
      <c r="D97" s="19">
        <v>0.48680555555555555</v>
      </c>
      <c r="E97" s="7" t="s">
        <v>129</v>
      </c>
      <c r="F97" s="16">
        <v>7.66</v>
      </c>
      <c r="G97" s="16">
        <v>4.0199999999999996</v>
      </c>
      <c r="H97" s="15">
        <v>1100</v>
      </c>
      <c r="I97" s="15">
        <v>180</v>
      </c>
      <c r="J97" s="17" t="s">
        <v>485</v>
      </c>
      <c r="K97" s="15">
        <v>1.7000000000000001E-2</v>
      </c>
      <c r="L97" s="15">
        <v>2.6</v>
      </c>
      <c r="M97" s="15">
        <v>0.02</v>
      </c>
      <c r="N97" s="15">
        <v>5</v>
      </c>
      <c r="O97" s="15">
        <v>0.6</v>
      </c>
      <c r="P97" s="17">
        <v>300.34622986678352</v>
      </c>
      <c r="Q97" s="17">
        <f t="shared" si="1"/>
        <v>366.20094423042059</v>
      </c>
      <c r="R97" s="15">
        <v>0.37</v>
      </c>
      <c r="S97" s="15">
        <v>110</v>
      </c>
      <c r="T97" s="15" t="s">
        <v>486</v>
      </c>
      <c r="U97" s="15">
        <v>26</v>
      </c>
      <c r="V97" s="15">
        <v>76</v>
      </c>
      <c r="W97" s="15">
        <v>620</v>
      </c>
    </row>
    <row r="102" spans="1:23" x14ac:dyDescent="0.25">
      <c r="R102" s="45">
        <f>AVERAGE(Q4:Q97)</f>
        <v>254.92260566143193</v>
      </c>
    </row>
  </sheetData>
  <protectedRanges>
    <protectedRange sqref="F4:G50 F1:G3" name="Waters methods"/>
    <protectedRange sqref="F51:G97" name="Waters methods_1"/>
  </protectedRange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C8B08-22C7-4333-A6FB-AA543A7F5C43}">
  <dimension ref="A1:AB65"/>
  <sheetViews>
    <sheetView workbookViewId="0">
      <pane xSplit="5" ySplit="3" topLeftCell="F4" activePane="bottomRight" state="frozen"/>
      <selection pane="topRight" activeCell="F1" sqref="F1"/>
      <selection pane="bottomLeft" activeCell="A5" sqref="A5"/>
      <selection pane="bottomRight" activeCell="L7" sqref="L7"/>
    </sheetView>
  </sheetViews>
  <sheetFormatPr defaultColWidth="8.7109375" defaultRowHeight="13.5" x14ac:dyDescent="0.25"/>
  <cols>
    <col min="1" max="1" width="9.7109375" style="7" bestFit="1" customWidth="1"/>
    <col min="2" max="2" width="8.42578125" style="7" bestFit="1" customWidth="1"/>
    <col min="3" max="3" width="10.28515625" style="18" bestFit="1" customWidth="1"/>
    <col min="4" max="4" width="5.42578125" style="19" bestFit="1" customWidth="1"/>
    <col min="5" max="5" width="16.7109375" style="7" bestFit="1" customWidth="1"/>
    <col min="6" max="6" width="9" style="23" bestFit="1" customWidth="1"/>
    <col min="7" max="7" width="11.7109375" style="23" bestFit="1" customWidth="1"/>
    <col min="8" max="12" width="9" style="23" bestFit="1" customWidth="1"/>
    <col min="13" max="13" width="9" style="23" customWidth="1"/>
    <col min="14" max="28" width="9" style="23" bestFit="1" customWidth="1"/>
    <col min="29" max="16384" width="8.7109375" style="23"/>
  </cols>
  <sheetData>
    <row r="1" spans="1:28" x14ac:dyDescent="0.25">
      <c r="A1" s="7" t="s">
        <v>117</v>
      </c>
      <c r="B1" s="7" t="s">
        <v>118</v>
      </c>
      <c r="C1" s="18" t="s">
        <v>119</v>
      </c>
      <c r="D1" s="19" t="s">
        <v>120</v>
      </c>
      <c r="E1" s="7" t="s">
        <v>124</v>
      </c>
      <c r="F1" s="23" t="s">
        <v>488</v>
      </c>
      <c r="G1" s="15" t="s">
        <v>475</v>
      </c>
      <c r="H1" s="23" t="s">
        <v>489</v>
      </c>
      <c r="I1" s="23" t="s">
        <v>478</v>
      </c>
      <c r="J1" s="23" t="s">
        <v>467</v>
      </c>
      <c r="K1" s="23" t="s">
        <v>474</v>
      </c>
      <c r="L1" s="23" t="s">
        <v>490</v>
      </c>
      <c r="M1" s="23" t="s">
        <v>490</v>
      </c>
      <c r="N1" s="23" t="s">
        <v>479</v>
      </c>
      <c r="O1" s="23" t="s">
        <v>476</v>
      </c>
      <c r="P1" s="23" t="s">
        <v>480</v>
      </c>
      <c r="Q1" s="23" t="s">
        <v>481</v>
      </c>
      <c r="R1" s="23" t="s">
        <v>491</v>
      </c>
      <c r="S1" s="23" t="s">
        <v>492</v>
      </c>
      <c r="T1" s="23" t="s">
        <v>493</v>
      </c>
      <c r="U1" s="23" t="s">
        <v>494</v>
      </c>
      <c r="V1" s="23" t="s">
        <v>495</v>
      </c>
      <c r="W1" s="23" t="s">
        <v>473</v>
      </c>
      <c r="X1" s="23" t="s">
        <v>482</v>
      </c>
      <c r="Y1" s="23" t="s">
        <v>470</v>
      </c>
      <c r="Z1" s="23" t="s">
        <v>472</v>
      </c>
      <c r="AA1" s="23" t="s">
        <v>468</v>
      </c>
      <c r="AB1" s="23" t="s">
        <v>459</v>
      </c>
    </row>
    <row r="2" spans="1:28" x14ac:dyDescent="0.25">
      <c r="F2" s="24">
        <v>5.0000000000000001E-3</v>
      </c>
      <c r="G2" s="24">
        <v>1</v>
      </c>
      <c r="H2" s="24">
        <v>1</v>
      </c>
      <c r="I2" s="24">
        <v>0.1</v>
      </c>
      <c r="J2" s="24">
        <v>1</v>
      </c>
      <c r="K2" s="24">
        <v>1</v>
      </c>
      <c r="L2" s="24">
        <v>0.2</v>
      </c>
      <c r="M2" s="24">
        <v>2E-3</v>
      </c>
      <c r="N2" s="24">
        <v>5.0000000000000001E-3</v>
      </c>
      <c r="O2" s="24">
        <v>1</v>
      </c>
      <c r="P2" s="24">
        <v>0.1</v>
      </c>
      <c r="Q2" s="24">
        <v>0.1</v>
      </c>
      <c r="R2" s="24">
        <v>1E-3</v>
      </c>
      <c r="S2" s="24">
        <v>0.01</v>
      </c>
      <c r="T2" s="24">
        <v>0.01</v>
      </c>
      <c r="U2" s="24">
        <v>0.01</v>
      </c>
      <c r="V2" s="24">
        <v>0.01</v>
      </c>
      <c r="W2" s="24">
        <v>0.01</v>
      </c>
      <c r="X2" s="24">
        <v>0.1</v>
      </c>
      <c r="Y2" s="24">
        <v>0.01</v>
      </c>
      <c r="Z2" s="24">
        <v>5.0000000000000001E-3</v>
      </c>
      <c r="AA2" s="24">
        <v>1</v>
      </c>
      <c r="AB2" s="24">
        <v>0.1</v>
      </c>
    </row>
    <row r="3" spans="1:28" x14ac:dyDescent="0.25">
      <c r="F3" s="23" t="s">
        <v>483</v>
      </c>
      <c r="G3" s="15" t="s">
        <v>484</v>
      </c>
      <c r="H3" s="23" t="s">
        <v>483</v>
      </c>
      <c r="I3" s="23" t="s">
        <v>483</v>
      </c>
      <c r="J3" s="23" t="s">
        <v>483</v>
      </c>
      <c r="K3" s="23" t="s">
        <v>483</v>
      </c>
      <c r="L3" s="23" t="s">
        <v>496</v>
      </c>
      <c r="M3" s="23" t="s">
        <v>463</v>
      </c>
      <c r="N3" s="23" t="s">
        <v>483</v>
      </c>
      <c r="O3" s="23" t="s">
        <v>483</v>
      </c>
      <c r="P3" s="23" t="s">
        <v>483</v>
      </c>
      <c r="Q3" s="23" t="s">
        <v>483</v>
      </c>
      <c r="R3" s="23" t="s">
        <v>483</v>
      </c>
      <c r="S3" s="23" t="s">
        <v>483</v>
      </c>
      <c r="T3" s="23" t="s">
        <v>483</v>
      </c>
      <c r="U3" s="23" t="s">
        <v>483</v>
      </c>
      <c r="V3" s="23" t="s">
        <v>483</v>
      </c>
      <c r="W3" s="23" t="s">
        <v>483</v>
      </c>
      <c r="X3" s="23" t="s">
        <v>483</v>
      </c>
      <c r="Y3" s="23" t="s">
        <v>483</v>
      </c>
      <c r="Z3" s="23" t="s">
        <v>483</v>
      </c>
      <c r="AA3" s="23" t="s">
        <v>483</v>
      </c>
    </row>
    <row r="4" spans="1:28" x14ac:dyDescent="0.25">
      <c r="A4" s="7" t="s">
        <v>157</v>
      </c>
      <c r="B4" s="7" t="s">
        <v>319</v>
      </c>
      <c r="C4" s="18">
        <v>45456</v>
      </c>
      <c r="D4" s="19">
        <v>0.41666666666666669</v>
      </c>
      <c r="E4" s="7" t="s">
        <v>129</v>
      </c>
      <c r="F4" s="23" t="s">
        <v>497</v>
      </c>
      <c r="G4" s="23">
        <v>145</v>
      </c>
      <c r="H4" s="23" t="s">
        <v>498</v>
      </c>
      <c r="I4" s="23">
        <v>369</v>
      </c>
      <c r="J4" s="23">
        <v>17100</v>
      </c>
      <c r="K4" s="23">
        <v>2.2999999999999998</v>
      </c>
      <c r="L4" s="23">
        <v>4130</v>
      </c>
      <c r="M4" s="23">
        <v>41.3</v>
      </c>
      <c r="N4" s="23" t="s">
        <v>497</v>
      </c>
      <c r="O4" s="23">
        <v>177</v>
      </c>
      <c r="P4" s="23">
        <v>426</v>
      </c>
      <c r="Q4" s="23">
        <v>1060</v>
      </c>
      <c r="R4" s="23">
        <v>3.3000000000000002E-2</v>
      </c>
      <c r="S4" s="23" t="s">
        <v>486</v>
      </c>
      <c r="T4" s="23">
        <v>0.04</v>
      </c>
      <c r="U4" s="23">
        <v>0.9</v>
      </c>
      <c r="V4" s="23">
        <v>0.94</v>
      </c>
      <c r="W4" s="23">
        <v>1.2</v>
      </c>
      <c r="X4" s="23">
        <v>9440</v>
      </c>
      <c r="Y4" s="23">
        <v>0.04</v>
      </c>
      <c r="Z4" s="23">
        <v>4.3999999999999997E-2</v>
      </c>
      <c r="AA4" s="23">
        <v>2300</v>
      </c>
      <c r="AB4" s="23">
        <v>7.5</v>
      </c>
    </row>
    <row r="5" spans="1:28" x14ac:dyDescent="0.25">
      <c r="A5" s="7" t="s">
        <v>321</v>
      </c>
      <c r="B5" s="7" t="s">
        <v>322</v>
      </c>
      <c r="C5" s="18">
        <v>45456</v>
      </c>
      <c r="D5" s="19">
        <v>0.44305555555555554</v>
      </c>
      <c r="E5" s="7" t="s">
        <v>129</v>
      </c>
      <c r="F5" s="23" t="s">
        <v>497</v>
      </c>
      <c r="G5" s="23">
        <v>434</v>
      </c>
      <c r="H5" s="23" t="s">
        <v>498</v>
      </c>
      <c r="I5" s="23">
        <v>315</v>
      </c>
      <c r="J5" s="23">
        <v>5940</v>
      </c>
      <c r="K5" s="23">
        <v>5.8</v>
      </c>
      <c r="L5" s="23">
        <v>1680</v>
      </c>
      <c r="M5" s="23">
        <v>16.8</v>
      </c>
      <c r="N5" s="23">
        <v>0.25</v>
      </c>
      <c r="O5" s="23">
        <v>530</v>
      </c>
      <c r="P5" s="23">
        <v>104</v>
      </c>
      <c r="Q5" s="23">
        <v>432</v>
      </c>
      <c r="R5" s="23">
        <v>0.01</v>
      </c>
      <c r="S5" s="23">
        <v>11</v>
      </c>
      <c r="T5" s="23" t="s">
        <v>486</v>
      </c>
      <c r="U5" s="23" t="s">
        <v>486</v>
      </c>
      <c r="V5" s="23" t="s">
        <v>486</v>
      </c>
      <c r="W5" s="23">
        <v>12</v>
      </c>
      <c r="X5" s="23">
        <v>2940</v>
      </c>
      <c r="Y5" s="23">
        <v>0.09</v>
      </c>
      <c r="Z5" s="23">
        <v>0.13</v>
      </c>
      <c r="AA5" s="23">
        <v>820</v>
      </c>
      <c r="AB5" s="23">
        <v>7.5</v>
      </c>
    </row>
    <row r="6" spans="1:28" x14ac:dyDescent="0.25">
      <c r="A6" s="7" t="s">
        <v>324</v>
      </c>
      <c r="B6" s="7" t="s">
        <v>325</v>
      </c>
      <c r="C6" s="18">
        <v>45456</v>
      </c>
      <c r="D6" s="19">
        <v>0.45277777777777778</v>
      </c>
      <c r="E6" s="7" t="s">
        <v>129</v>
      </c>
      <c r="F6" s="23">
        <v>5.0000000000000001E-3</v>
      </c>
      <c r="G6" s="23">
        <v>223</v>
      </c>
      <c r="H6" s="23" t="s">
        <v>498</v>
      </c>
      <c r="I6" s="23">
        <v>247</v>
      </c>
      <c r="J6" s="23">
        <v>10300</v>
      </c>
      <c r="K6" s="23">
        <v>4.7</v>
      </c>
      <c r="L6" s="23">
        <v>2610</v>
      </c>
      <c r="M6" s="23">
        <v>26.1</v>
      </c>
      <c r="N6" s="23" t="s">
        <v>497</v>
      </c>
      <c r="O6" s="23">
        <v>272</v>
      </c>
      <c r="P6" s="23">
        <v>242</v>
      </c>
      <c r="Q6" s="23">
        <v>675</v>
      </c>
      <c r="R6" s="23">
        <v>0.01</v>
      </c>
      <c r="S6" s="23">
        <v>16</v>
      </c>
      <c r="T6" s="23" t="s">
        <v>486</v>
      </c>
      <c r="U6" s="23">
        <v>0.12</v>
      </c>
      <c r="V6" s="23">
        <v>0.12</v>
      </c>
      <c r="W6" s="23">
        <v>16</v>
      </c>
      <c r="X6" s="23">
        <v>5060</v>
      </c>
      <c r="Y6" s="23">
        <v>0.09</v>
      </c>
      <c r="Z6" s="23">
        <v>8.6999999999999994E-2</v>
      </c>
      <c r="AA6" s="23">
        <v>1600</v>
      </c>
      <c r="AB6" s="23">
        <v>7.6</v>
      </c>
    </row>
    <row r="7" spans="1:28" x14ac:dyDescent="0.25">
      <c r="A7" s="7" t="s">
        <v>326</v>
      </c>
      <c r="B7" s="7" t="s">
        <v>327</v>
      </c>
      <c r="C7" s="18">
        <v>45456</v>
      </c>
      <c r="D7" s="19">
        <v>0.46180555555555558</v>
      </c>
      <c r="E7" s="7" t="s">
        <v>129</v>
      </c>
      <c r="F7" s="23" t="s">
        <v>497</v>
      </c>
      <c r="G7" s="23">
        <v>346</v>
      </c>
      <c r="H7" s="23" t="s">
        <v>498</v>
      </c>
      <c r="I7" s="23">
        <v>349</v>
      </c>
      <c r="J7" s="23">
        <v>9330</v>
      </c>
      <c r="K7" s="23">
        <v>6</v>
      </c>
      <c r="L7" s="23">
        <v>2410</v>
      </c>
      <c r="M7" s="23">
        <v>24.1</v>
      </c>
      <c r="N7" s="23">
        <v>2.3E-2</v>
      </c>
      <c r="O7" s="23">
        <v>422</v>
      </c>
      <c r="P7" s="23">
        <v>178</v>
      </c>
      <c r="Q7" s="23">
        <v>584</v>
      </c>
      <c r="R7" s="23">
        <v>7.0000000000000001E-3</v>
      </c>
      <c r="S7" s="23">
        <v>9.5</v>
      </c>
      <c r="T7" s="23" t="s">
        <v>486</v>
      </c>
      <c r="U7" s="23" t="s">
        <v>486</v>
      </c>
      <c r="V7" s="23" t="s">
        <v>486</v>
      </c>
      <c r="W7" s="23">
        <v>10</v>
      </c>
      <c r="X7" s="23">
        <v>4530</v>
      </c>
      <c r="Y7" s="23">
        <v>0.09</v>
      </c>
      <c r="Z7" s="23">
        <v>9.2999999999999999E-2</v>
      </c>
      <c r="AA7" s="23">
        <v>1200</v>
      </c>
      <c r="AB7" s="23">
        <v>7.5</v>
      </c>
    </row>
    <row r="8" spans="1:28" x14ac:dyDescent="0.25">
      <c r="A8" s="7" t="s">
        <v>328</v>
      </c>
      <c r="B8" s="7" t="s">
        <v>329</v>
      </c>
      <c r="C8" s="18">
        <v>45456</v>
      </c>
      <c r="D8" s="19">
        <v>0.47222222222222221</v>
      </c>
      <c r="E8" s="7" t="s">
        <v>129</v>
      </c>
      <c r="F8" s="23">
        <v>7.0000000000000001E-3</v>
      </c>
      <c r="G8" s="23">
        <v>283</v>
      </c>
      <c r="H8" s="23" t="s">
        <v>498</v>
      </c>
      <c r="I8" s="23">
        <v>241</v>
      </c>
      <c r="J8" s="23">
        <v>9070</v>
      </c>
      <c r="K8" s="23">
        <v>8.3000000000000007</v>
      </c>
      <c r="L8" s="23">
        <v>2420</v>
      </c>
      <c r="M8" s="23">
        <v>24.2</v>
      </c>
      <c r="N8" s="23">
        <v>8.9999999999999993E-3</v>
      </c>
      <c r="O8" s="23">
        <v>345</v>
      </c>
      <c r="P8" s="23">
        <v>209</v>
      </c>
      <c r="Q8" s="23">
        <v>610</v>
      </c>
      <c r="R8" s="23">
        <v>8.9999999999999993E-3</v>
      </c>
      <c r="S8" s="23">
        <v>5.6</v>
      </c>
      <c r="T8" s="23">
        <v>0.01</v>
      </c>
      <c r="U8" s="23" t="s">
        <v>486</v>
      </c>
      <c r="V8" s="23">
        <v>0.01</v>
      </c>
      <c r="W8" s="23">
        <v>6.2</v>
      </c>
      <c r="X8" s="23">
        <v>4590</v>
      </c>
      <c r="Y8" s="23">
        <v>0.12</v>
      </c>
      <c r="Z8" s="23">
        <v>0.11</v>
      </c>
      <c r="AA8" s="23">
        <v>1200</v>
      </c>
      <c r="AB8" s="23">
        <v>7.7</v>
      </c>
    </row>
    <row r="9" spans="1:28" x14ac:dyDescent="0.25">
      <c r="A9" s="7" t="s">
        <v>330</v>
      </c>
      <c r="B9" s="7" t="s">
        <v>331</v>
      </c>
      <c r="C9" s="18">
        <v>45456</v>
      </c>
      <c r="D9" s="19">
        <v>0.4826388888888889</v>
      </c>
      <c r="E9" s="7" t="s">
        <v>129</v>
      </c>
      <c r="F9" s="23" t="s">
        <v>497</v>
      </c>
      <c r="G9" s="23">
        <v>315</v>
      </c>
      <c r="H9" s="23" t="s">
        <v>498</v>
      </c>
      <c r="I9" s="23">
        <v>335</v>
      </c>
      <c r="J9" s="23">
        <v>7820</v>
      </c>
      <c r="K9" s="23">
        <v>6.2</v>
      </c>
      <c r="L9" s="23">
        <v>2140</v>
      </c>
      <c r="M9" s="23">
        <v>21.4</v>
      </c>
      <c r="N9" s="23">
        <v>1.2E-2</v>
      </c>
      <c r="O9" s="23">
        <v>383</v>
      </c>
      <c r="P9" s="23">
        <v>150</v>
      </c>
      <c r="Q9" s="23">
        <v>518</v>
      </c>
      <c r="R9" s="23">
        <v>7.0000000000000001E-3</v>
      </c>
      <c r="S9" s="23">
        <v>12</v>
      </c>
      <c r="T9" s="23" t="s">
        <v>486</v>
      </c>
      <c r="U9" s="23" t="s">
        <v>486</v>
      </c>
      <c r="V9" s="23" t="s">
        <v>486</v>
      </c>
      <c r="W9" s="23">
        <v>13</v>
      </c>
      <c r="X9" s="23">
        <v>3930</v>
      </c>
      <c r="Y9" s="23">
        <v>0.06</v>
      </c>
      <c r="Z9" s="23">
        <v>6.3E-2</v>
      </c>
      <c r="AA9" s="23">
        <v>990</v>
      </c>
      <c r="AB9" s="23">
        <v>7.5</v>
      </c>
    </row>
    <row r="10" spans="1:28" x14ac:dyDescent="0.25">
      <c r="A10" s="7" t="s">
        <v>332</v>
      </c>
      <c r="B10" s="7" t="s">
        <v>333</v>
      </c>
      <c r="C10" s="18">
        <v>45456</v>
      </c>
      <c r="D10" s="19">
        <v>0.49444444444444446</v>
      </c>
      <c r="E10" s="7" t="s">
        <v>129</v>
      </c>
      <c r="F10" s="23">
        <v>7.0000000000000001E-3</v>
      </c>
      <c r="G10" s="23">
        <v>287</v>
      </c>
      <c r="H10" s="23" t="s">
        <v>498</v>
      </c>
      <c r="I10" s="23">
        <v>104</v>
      </c>
      <c r="J10" s="23">
        <v>2320</v>
      </c>
      <c r="K10" s="23">
        <v>2.5</v>
      </c>
      <c r="L10" s="23">
        <v>763</v>
      </c>
      <c r="M10" s="23">
        <v>7.63</v>
      </c>
      <c r="N10" s="23" t="s">
        <v>497</v>
      </c>
      <c r="O10" s="23">
        <v>350</v>
      </c>
      <c r="P10" s="23">
        <v>74.5</v>
      </c>
      <c r="Q10" s="23">
        <v>200</v>
      </c>
      <c r="R10" s="23">
        <v>0.01</v>
      </c>
      <c r="S10" s="23">
        <v>10</v>
      </c>
      <c r="T10" s="23" t="s">
        <v>486</v>
      </c>
      <c r="U10" s="23">
        <v>0.17</v>
      </c>
      <c r="V10" s="23">
        <v>0.17</v>
      </c>
      <c r="W10" s="23">
        <v>11</v>
      </c>
      <c r="X10" s="23">
        <v>1290</v>
      </c>
      <c r="Y10" s="23">
        <v>0.08</v>
      </c>
      <c r="Z10" s="23">
        <v>0.22</v>
      </c>
      <c r="AA10" s="23">
        <v>480</v>
      </c>
      <c r="AB10" s="23">
        <v>7.9</v>
      </c>
    </row>
    <row r="11" spans="1:28" x14ac:dyDescent="0.25">
      <c r="A11" s="7" t="s">
        <v>334</v>
      </c>
      <c r="B11" s="7" t="s">
        <v>335</v>
      </c>
      <c r="C11" s="18">
        <v>45456</v>
      </c>
      <c r="D11" s="19">
        <v>0.50347222222222221</v>
      </c>
      <c r="E11" s="7" t="s">
        <v>129</v>
      </c>
      <c r="F11" s="23">
        <v>7.0000000000000001E-3</v>
      </c>
      <c r="G11" s="23">
        <v>313</v>
      </c>
      <c r="H11" s="23" t="s">
        <v>498</v>
      </c>
      <c r="I11" s="23">
        <v>71</v>
      </c>
      <c r="J11" s="23">
        <v>1720</v>
      </c>
      <c r="K11" s="23">
        <v>2.5</v>
      </c>
      <c r="L11" s="23">
        <v>609</v>
      </c>
      <c r="M11" s="23">
        <v>6.09</v>
      </c>
      <c r="N11" s="23" t="s">
        <v>497</v>
      </c>
      <c r="O11" s="23">
        <v>382</v>
      </c>
      <c r="P11" s="23">
        <v>54.7</v>
      </c>
      <c r="Q11" s="23">
        <v>162</v>
      </c>
      <c r="R11" s="23">
        <v>5.0000000000000001E-3</v>
      </c>
      <c r="S11" s="23">
        <v>9.9</v>
      </c>
      <c r="T11" s="23" t="s">
        <v>486</v>
      </c>
      <c r="U11" s="23">
        <v>0.02</v>
      </c>
      <c r="V11" s="23">
        <v>0.02</v>
      </c>
      <c r="W11" s="23">
        <v>10</v>
      </c>
      <c r="X11" s="23">
        <v>1120</v>
      </c>
      <c r="Y11" s="23">
        <v>0.11</v>
      </c>
      <c r="Z11" s="23">
        <v>0.84</v>
      </c>
      <c r="AA11" s="23">
        <v>510</v>
      </c>
      <c r="AB11" s="23">
        <v>8</v>
      </c>
    </row>
    <row r="12" spans="1:28" x14ac:dyDescent="0.25">
      <c r="A12" s="7" t="s">
        <v>336</v>
      </c>
      <c r="B12" s="7" t="s">
        <v>337</v>
      </c>
      <c r="C12" s="18">
        <v>45456</v>
      </c>
      <c r="D12" s="19">
        <v>0.50694444444444442</v>
      </c>
      <c r="E12" s="7" t="s">
        <v>129</v>
      </c>
      <c r="F12" s="23" t="s">
        <v>497</v>
      </c>
      <c r="G12" s="23">
        <v>304</v>
      </c>
      <c r="H12" s="23" t="s">
        <v>498</v>
      </c>
      <c r="I12" s="23">
        <v>207</v>
      </c>
      <c r="J12" s="23">
        <v>5670</v>
      </c>
      <c r="K12" s="23">
        <v>2.6</v>
      </c>
      <c r="L12" s="23">
        <v>1670</v>
      </c>
      <c r="M12" s="23">
        <v>16.7</v>
      </c>
      <c r="N12" s="23">
        <v>6.0000000000000001E-3</v>
      </c>
      <c r="O12" s="23">
        <v>370</v>
      </c>
      <c r="P12" s="23">
        <v>110</v>
      </c>
      <c r="Q12" s="23">
        <v>413</v>
      </c>
      <c r="R12" s="23">
        <v>5.0000000000000001E-3</v>
      </c>
      <c r="S12" s="23">
        <v>21</v>
      </c>
      <c r="T12" s="23" t="s">
        <v>486</v>
      </c>
      <c r="U12" s="23">
        <v>0.42</v>
      </c>
      <c r="V12" s="23">
        <v>0.42</v>
      </c>
      <c r="W12" s="23">
        <v>21</v>
      </c>
      <c r="X12" s="23">
        <v>2910</v>
      </c>
      <c r="Y12" s="23">
        <v>0.09</v>
      </c>
      <c r="Z12" s="23">
        <v>0.13</v>
      </c>
      <c r="AA12" s="23">
        <v>730</v>
      </c>
      <c r="AB12" s="23">
        <v>7.6</v>
      </c>
    </row>
    <row r="13" spans="1:28" x14ac:dyDescent="0.25">
      <c r="A13" s="7" t="s">
        <v>338</v>
      </c>
      <c r="B13" s="7" t="s">
        <v>339</v>
      </c>
      <c r="C13" s="18">
        <v>45456</v>
      </c>
      <c r="D13" s="19">
        <v>0.51388888888888884</v>
      </c>
      <c r="E13" s="7" t="s">
        <v>129</v>
      </c>
      <c r="F13" s="23" t="s">
        <v>497</v>
      </c>
      <c r="G13" s="23">
        <v>251</v>
      </c>
      <c r="H13" s="23" t="s">
        <v>498</v>
      </c>
      <c r="I13" s="23">
        <v>248</v>
      </c>
      <c r="J13" s="23">
        <v>8830</v>
      </c>
      <c r="K13" s="23">
        <v>2.9</v>
      </c>
      <c r="L13" s="23">
        <v>2440</v>
      </c>
      <c r="M13" s="23">
        <v>24.4</v>
      </c>
      <c r="N13" s="23">
        <v>4.7E-2</v>
      </c>
      <c r="O13" s="23">
        <v>305</v>
      </c>
      <c r="P13" s="23">
        <v>208</v>
      </c>
      <c r="Q13" s="23">
        <v>591</v>
      </c>
      <c r="R13" s="23">
        <v>7.0000000000000001E-3</v>
      </c>
      <c r="S13" s="23">
        <v>24</v>
      </c>
      <c r="T13" s="23" t="s">
        <v>486</v>
      </c>
      <c r="U13" s="23" t="s">
        <v>486</v>
      </c>
      <c r="V13" s="23" t="s">
        <v>486</v>
      </c>
      <c r="W13" s="23">
        <v>24</v>
      </c>
      <c r="X13" s="23">
        <v>4490</v>
      </c>
      <c r="Y13" s="23">
        <v>0.02</v>
      </c>
      <c r="Z13" s="23">
        <v>0.92</v>
      </c>
      <c r="AA13" s="23">
        <v>1300</v>
      </c>
      <c r="AB13" s="23">
        <v>7.6</v>
      </c>
    </row>
    <row r="14" spans="1:28" x14ac:dyDescent="0.25">
      <c r="A14" s="7" t="s">
        <v>340</v>
      </c>
      <c r="B14" s="7" t="s">
        <v>341</v>
      </c>
      <c r="C14" s="18">
        <v>45456</v>
      </c>
      <c r="D14" s="19">
        <v>0.52083333333333337</v>
      </c>
      <c r="E14" s="7" t="s">
        <v>129</v>
      </c>
      <c r="F14" s="23" t="s">
        <v>497</v>
      </c>
      <c r="G14" s="23">
        <v>245</v>
      </c>
      <c r="H14" s="23" t="s">
        <v>498</v>
      </c>
      <c r="I14" s="23">
        <v>356</v>
      </c>
      <c r="J14" s="23">
        <v>12100</v>
      </c>
      <c r="K14" s="23">
        <v>3.8</v>
      </c>
      <c r="L14" s="23">
        <v>3120</v>
      </c>
      <c r="M14" s="23">
        <v>31.2</v>
      </c>
      <c r="N14" s="23">
        <v>2.1999999999999999E-2</v>
      </c>
      <c r="O14" s="23">
        <v>299</v>
      </c>
      <c r="P14" s="23">
        <v>287</v>
      </c>
      <c r="Q14" s="23">
        <v>756</v>
      </c>
      <c r="R14" s="23">
        <v>1.4E-2</v>
      </c>
      <c r="S14" s="23">
        <v>64</v>
      </c>
      <c r="T14" s="23" t="s">
        <v>486</v>
      </c>
      <c r="U14" s="23">
        <v>1.7</v>
      </c>
      <c r="V14" s="23">
        <v>1.7</v>
      </c>
      <c r="W14" s="23">
        <v>66</v>
      </c>
      <c r="X14" s="23">
        <v>6320</v>
      </c>
      <c r="Y14" s="23">
        <v>0.06</v>
      </c>
      <c r="Z14" s="23">
        <v>0.12</v>
      </c>
      <c r="AA14" s="23">
        <v>1800</v>
      </c>
      <c r="AB14" s="23">
        <v>7.5</v>
      </c>
    </row>
    <row r="15" spans="1:28" x14ac:dyDescent="0.25">
      <c r="A15" s="7" t="s">
        <v>342</v>
      </c>
      <c r="B15" s="7" t="s">
        <v>343</v>
      </c>
      <c r="C15" s="18">
        <v>45456</v>
      </c>
      <c r="D15" s="19">
        <v>0.52777777777777779</v>
      </c>
      <c r="E15" s="7" t="s">
        <v>129</v>
      </c>
      <c r="F15" s="23" t="s">
        <v>497</v>
      </c>
      <c r="G15" s="23">
        <v>328</v>
      </c>
      <c r="H15" s="23" t="s">
        <v>498</v>
      </c>
      <c r="I15" s="23">
        <v>271</v>
      </c>
      <c r="J15" s="23">
        <v>6630</v>
      </c>
      <c r="K15" s="23">
        <v>4.2</v>
      </c>
      <c r="L15" s="23">
        <v>1840</v>
      </c>
      <c r="M15" s="23">
        <v>18.399999999999999</v>
      </c>
      <c r="N15" s="23">
        <v>1.7999999999999999E-2</v>
      </c>
      <c r="O15" s="23">
        <v>399</v>
      </c>
      <c r="P15" s="23">
        <v>90.3</v>
      </c>
      <c r="Q15" s="23">
        <v>379</v>
      </c>
      <c r="R15" s="23">
        <v>5.0000000000000001E-3</v>
      </c>
      <c r="S15" s="23">
        <v>37</v>
      </c>
      <c r="T15" s="23" t="s">
        <v>486</v>
      </c>
      <c r="U15" s="23">
        <v>0.27</v>
      </c>
      <c r="V15" s="23">
        <v>0.27</v>
      </c>
      <c r="W15" s="23">
        <v>37</v>
      </c>
      <c r="X15" s="23">
        <v>3160</v>
      </c>
      <c r="Y15" s="23">
        <v>7.0000000000000007E-2</v>
      </c>
      <c r="Z15" s="23">
        <v>0.09</v>
      </c>
      <c r="AA15" s="23">
        <v>840</v>
      </c>
      <c r="AB15" s="23">
        <v>7.6</v>
      </c>
    </row>
    <row r="16" spans="1:28" x14ac:dyDescent="0.25">
      <c r="A16" s="7" t="s">
        <v>344</v>
      </c>
      <c r="B16" s="7" t="s">
        <v>345</v>
      </c>
      <c r="C16" s="18">
        <v>45456</v>
      </c>
      <c r="D16" s="19">
        <v>0.53472222222222221</v>
      </c>
      <c r="E16" s="7" t="s">
        <v>129</v>
      </c>
      <c r="F16" s="23">
        <v>6.0000000000000001E-3</v>
      </c>
      <c r="G16" s="23">
        <v>222</v>
      </c>
      <c r="H16" s="23" t="s">
        <v>498</v>
      </c>
      <c r="I16" s="23">
        <v>369</v>
      </c>
      <c r="J16" s="23">
        <v>18100</v>
      </c>
      <c r="K16" s="23">
        <v>3</v>
      </c>
      <c r="L16" s="23">
        <v>4500</v>
      </c>
      <c r="M16" s="23">
        <v>45</v>
      </c>
      <c r="N16" s="23">
        <v>4.8000000000000001E-2</v>
      </c>
      <c r="O16" s="23">
        <v>271</v>
      </c>
      <c r="P16" s="23">
        <v>389</v>
      </c>
      <c r="Q16" s="23">
        <v>1000</v>
      </c>
      <c r="R16" s="23">
        <v>6.2E-2</v>
      </c>
      <c r="S16" s="23">
        <v>8</v>
      </c>
      <c r="T16" s="23" t="s">
        <v>486</v>
      </c>
      <c r="U16" s="23" t="s">
        <v>486</v>
      </c>
      <c r="V16" s="23" t="s">
        <v>486</v>
      </c>
      <c r="W16" s="23">
        <v>8</v>
      </c>
      <c r="X16" s="23">
        <v>9010</v>
      </c>
      <c r="Y16" s="23">
        <v>0.1</v>
      </c>
      <c r="Z16" s="23">
        <v>0.14000000000000001</v>
      </c>
      <c r="AA16" s="23">
        <v>2400</v>
      </c>
      <c r="AB16" s="23">
        <v>7.5</v>
      </c>
    </row>
    <row r="17" spans="1:28" x14ac:dyDescent="0.25">
      <c r="A17" s="7" t="s">
        <v>346</v>
      </c>
      <c r="B17" s="7" t="s">
        <v>347</v>
      </c>
      <c r="C17" s="18">
        <v>45456</v>
      </c>
      <c r="D17" s="19">
        <v>0.54166666666666663</v>
      </c>
      <c r="E17" s="7" t="s">
        <v>129</v>
      </c>
      <c r="F17" s="23" t="s">
        <v>497</v>
      </c>
      <c r="G17" s="23">
        <v>247</v>
      </c>
      <c r="H17" s="23" t="s">
        <v>498</v>
      </c>
      <c r="I17" s="23">
        <v>235</v>
      </c>
      <c r="J17" s="23">
        <v>10300</v>
      </c>
      <c r="K17" s="23">
        <v>3.6</v>
      </c>
      <c r="L17" s="23">
        <v>2820</v>
      </c>
      <c r="M17" s="23">
        <v>28.2</v>
      </c>
      <c r="N17" s="23">
        <v>3.5000000000000003E-2</v>
      </c>
      <c r="O17" s="23">
        <v>301</v>
      </c>
      <c r="P17" s="23">
        <v>218</v>
      </c>
      <c r="Q17" s="23">
        <v>676</v>
      </c>
      <c r="R17" s="23">
        <v>8.9999999999999993E-3</v>
      </c>
      <c r="S17" s="23">
        <v>18</v>
      </c>
      <c r="T17" s="23" t="s">
        <v>486</v>
      </c>
      <c r="U17" s="23" t="s">
        <v>486</v>
      </c>
      <c r="V17" s="23" t="s">
        <v>486</v>
      </c>
      <c r="W17" s="23">
        <v>18</v>
      </c>
      <c r="X17" s="23">
        <v>4920</v>
      </c>
      <c r="Y17" s="23">
        <v>0.05</v>
      </c>
      <c r="Z17" s="23">
        <v>0.12</v>
      </c>
      <c r="AA17" s="23">
        <v>1500</v>
      </c>
      <c r="AB17" s="23">
        <v>7.6</v>
      </c>
    </row>
    <row r="18" spans="1:28" x14ac:dyDescent="0.25">
      <c r="A18" s="7" t="s">
        <v>348</v>
      </c>
      <c r="B18" s="7" t="s">
        <v>349</v>
      </c>
      <c r="C18" s="18">
        <v>45456</v>
      </c>
      <c r="D18" s="19">
        <v>0.58402777777777781</v>
      </c>
      <c r="E18" s="7" t="s">
        <v>129</v>
      </c>
      <c r="F18" s="23" t="s">
        <v>497</v>
      </c>
      <c r="G18" s="23">
        <v>329</v>
      </c>
      <c r="H18" s="23" t="s">
        <v>498</v>
      </c>
      <c r="I18" s="23">
        <v>77.599999999999994</v>
      </c>
      <c r="J18" s="23">
        <v>1070</v>
      </c>
      <c r="K18" s="23">
        <v>3.1</v>
      </c>
      <c r="L18" s="23">
        <v>407</v>
      </c>
      <c r="M18" s="23">
        <v>4.07</v>
      </c>
      <c r="N18" s="23">
        <v>7.0000000000000001E-3</v>
      </c>
      <c r="O18" s="23">
        <v>401</v>
      </c>
      <c r="P18" s="23">
        <v>29.1</v>
      </c>
      <c r="Q18" s="23">
        <v>100</v>
      </c>
      <c r="R18" s="23">
        <v>3.6999999999999998E-2</v>
      </c>
      <c r="S18" s="23">
        <v>31</v>
      </c>
      <c r="T18" s="23" t="s">
        <v>486</v>
      </c>
      <c r="U18" s="23" t="s">
        <v>486</v>
      </c>
      <c r="V18" s="23" t="s">
        <v>486</v>
      </c>
      <c r="W18" s="23">
        <v>31</v>
      </c>
      <c r="X18" s="23">
        <v>670</v>
      </c>
      <c r="Y18" s="23">
        <v>0.08</v>
      </c>
      <c r="Z18" s="23">
        <v>0.21</v>
      </c>
      <c r="AA18" s="23">
        <v>310</v>
      </c>
      <c r="AB18" s="23">
        <v>8</v>
      </c>
    </row>
    <row r="19" spans="1:28" x14ac:dyDescent="0.25">
      <c r="A19" s="7" t="s">
        <v>351</v>
      </c>
      <c r="B19" s="7" t="s">
        <v>352</v>
      </c>
      <c r="C19" s="18">
        <v>45456</v>
      </c>
      <c r="D19" s="19">
        <v>0.58402777777777781</v>
      </c>
      <c r="E19" s="7" t="s">
        <v>129</v>
      </c>
      <c r="F19" s="23" t="s">
        <v>497</v>
      </c>
      <c r="G19" s="23">
        <v>331</v>
      </c>
      <c r="H19" s="23" t="s">
        <v>498</v>
      </c>
      <c r="I19" s="23">
        <v>88.2</v>
      </c>
      <c r="J19" s="23">
        <v>1080</v>
      </c>
      <c r="K19" s="23">
        <v>3</v>
      </c>
      <c r="L19" s="23">
        <v>412</v>
      </c>
      <c r="M19" s="23">
        <v>4.12</v>
      </c>
      <c r="N19" s="23">
        <v>5.0000000000000001E-3</v>
      </c>
      <c r="O19" s="23">
        <v>404</v>
      </c>
      <c r="P19" s="23">
        <v>23.3</v>
      </c>
      <c r="Q19" s="23">
        <v>96.5</v>
      </c>
      <c r="R19" s="23">
        <v>1E-3</v>
      </c>
      <c r="S19" s="23">
        <v>32</v>
      </c>
      <c r="T19" s="23" t="s">
        <v>486</v>
      </c>
      <c r="U19" s="23" t="s">
        <v>486</v>
      </c>
      <c r="V19" s="23" t="s">
        <v>486</v>
      </c>
      <c r="W19" s="23">
        <v>32</v>
      </c>
      <c r="X19" s="23">
        <v>595</v>
      </c>
      <c r="Y19" s="23">
        <v>0.08</v>
      </c>
      <c r="Z19" s="23">
        <v>0.15</v>
      </c>
      <c r="AA19" s="23">
        <v>310</v>
      </c>
      <c r="AB19" s="23">
        <v>7.9</v>
      </c>
    </row>
    <row r="20" spans="1:28" x14ac:dyDescent="0.25">
      <c r="A20" s="7" t="s">
        <v>355</v>
      </c>
      <c r="B20" s="7" t="s">
        <v>356</v>
      </c>
      <c r="C20" s="18">
        <v>45456</v>
      </c>
      <c r="D20" s="19">
        <v>0.61458333333333337</v>
      </c>
      <c r="E20" s="7" t="s">
        <v>129</v>
      </c>
      <c r="F20" s="23">
        <v>8.9999999999999993E-3</v>
      </c>
      <c r="G20" s="23">
        <v>233</v>
      </c>
      <c r="H20" s="23" t="s">
        <v>498</v>
      </c>
      <c r="I20" s="23">
        <v>167</v>
      </c>
      <c r="J20" s="23">
        <v>2250</v>
      </c>
      <c r="K20" s="23">
        <v>3.8</v>
      </c>
      <c r="L20" s="23">
        <v>793</v>
      </c>
      <c r="M20" s="23">
        <v>7.93</v>
      </c>
      <c r="N20" s="23">
        <v>1.0999999999999999E-2</v>
      </c>
      <c r="O20" s="23">
        <v>284</v>
      </c>
      <c r="P20" s="23">
        <v>140</v>
      </c>
      <c r="Q20" s="23">
        <v>339</v>
      </c>
      <c r="R20" s="23">
        <v>2E-3</v>
      </c>
      <c r="S20" s="23">
        <v>58</v>
      </c>
      <c r="T20" s="23" t="s">
        <v>486</v>
      </c>
      <c r="U20" s="23">
        <v>0.03</v>
      </c>
      <c r="V20" s="23">
        <v>0.03</v>
      </c>
      <c r="W20" s="23">
        <v>58</v>
      </c>
      <c r="X20" s="23">
        <v>2710</v>
      </c>
      <c r="Y20" s="23">
        <v>7.0000000000000007E-2</v>
      </c>
      <c r="Z20" s="23">
        <v>0.28000000000000003</v>
      </c>
      <c r="AA20" s="23">
        <v>550</v>
      </c>
      <c r="AB20" s="23">
        <v>7.9</v>
      </c>
    </row>
    <row r="21" spans="1:28" x14ac:dyDescent="0.25">
      <c r="A21" s="7" t="s">
        <v>358</v>
      </c>
      <c r="B21" s="7" t="s">
        <v>359</v>
      </c>
      <c r="C21" s="18">
        <v>45456</v>
      </c>
      <c r="D21" s="19">
        <v>0.62152777777777779</v>
      </c>
      <c r="E21" s="7" t="s">
        <v>129</v>
      </c>
      <c r="F21" s="23">
        <v>2.9000000000000001E-2</v>
      </c>
      <c r="G21" s="23">
        <v>108</v>
      </c>
      <c r="H21" s="23" t="s">
        <v>498</v>
      </c>
      <c r="I21" s="23">
        <v>382</v>
      </c>
      <c r="J21" s="23">
        <v>19900</v>
      </c>
      <c r="K21" s="23">
        <v>1.1000000000000001</v>
      </c>
      <c r="L21" s="23">
        <v>5220</v>
      </c>
      <c r="M21" s="23">
        <v>52.2</v>
      </c>
      <c r="N21" s="23">
        <v>0.48</v>
      </c>
      <c r="O21" s="23">
        <v>132</v>
      </c>
      <c r="P21" s="23">
        <v>486</v>
      </c>
      <c r="Q21" s="23">
        <v>1280</v>
      </c>
      <c r="R21" s="23">
        <v>3.7999999999999999E-2</v>
      </c>
      <c r="S21" s="23">
        <v>0.03</v>
      </c>
      <c r="T21" s="23" t="s">
        <v>486</v>
      </c>
      <c r="U21" s="23">
        <v>0.6</v>
      </c>
      <c r="V21" s="23">
        <v>0.6</v>
      </c>
      <c r="W21" s="23">
        <v>0.67</v>
      </c>
      <c r="X21" s="23">
        <v>10600</v>
      </c>
      <c r="Y21" s="23">
        <v>0.06</v>
      </c>
      <c r="Z21" s="23">
        <v>0.06</v>
      </c>
      <c r="AA21" s="23">
        <v>2600</v>
      </c>
      <c r="AB21" s="23">
        <v>7.6</v>
      </c>
    </row>
    <row r="22" spans="1:28" x14ac:dyDescent="0.25">
      <c r="A22" s="7" t="s">
        <v>361</v>
      </c>
      <c r="B22" s="7" t="s">
        <v>362</v>
      </c>
      <c r="C22" s="18">
        <v>45456</v>
      </c>
      <c r="D22" s="19">
        <v>0.62847222222222221</v>
      </c>
      <c r="E22" s="7" t="s">
        <v>129</v>
      </c>
      <c r="F22" s="23" t="s">
        <v>499</v>
      </c>
      <c r="G22" s="23">
        <v>113</v>
      </c>
      <c r="H22" s="23" t="s">
        <v>498</v>
      </c>
      <c r="I22" s="23">
        <v>386</v>
      </c>
      <c r="J22" s="23">
        <v>20200</v>
      </c>
      <c r="K22" s="23">
        <v>1.1000000000000001</v>
      </c>
      <c r="L22" s="23">
        <v>5100</v>
      </c>
      <c r="M22" s="23">
        <v>51</v>
      </c>
      <c r="N22" s="23" t="s">
        <v>499</v>
      </c>
      <c r="O22" s="23">
        <v>138</v>
      </c>
      <c r="P22" s="23">
        <v>485</v>
      </c>
      <c r="Q22" s="23">
        <v>1290</v>
      </c>
      <c r="R22" s="23" t="s">
        <v>497</v>
      </c>
      <c r="S22" s="23" t="s">
        <v>486</v>
      </c>
      <c r="T22" s="23" t="s">
        <v>486</v>
      </c>
      <c r="U22" s="23">
        <v>0.57999999999999996</v>
      </c>
      <c r="V22" s="23">
        <v>0.57999999999999996</v>
      </c>
      <c r="W22" s="23">
        <v>0.78</v>
      </c>
      <c r="X22" s="23">
        <v>10700</v>
      </c>
      <c r="Y22" s="23">
        <v>0.03</v>
      </c>
      <c r="Z22" s="23">
        <v>0.12</v>
      </c>
      <c r="AA22" s="23">
        <v>2600</v>
      </c>
      <c r="AB22" s="23">
        <v>7.6</v>
      </c>
    </row>
    <row r="23" spans="1:28" x14ac:dyDescent="0.25">
      <c r="A23" s="7" t="s">
        <v>364</v>
      </c>
      <c r="B23" s="7" t="s">
        <v>365</v>
      </c>
      <c r="C23" s="18">
        <v>45456</v>
      </c>
      <c r="D23" s="19">
        <v>0.63888888888888884</v>
      </c>
      <c r="E23" s="7" t="s">
        <v>129</v>
      </c>
      <c r="F23" s="23">
        <v>6.0000000000000001E-3</v>
      </c>
      <c r="G23" s="23">
        <v>285</v>
      </c>
      <c r="H23" s="23" t="s">
        <v>498</v>
      </c>
      <c r="I23" s="23">
        <v>189</v>
      </c>
      <c r="J23" s="23">
        <v>6330</v>
      </c>
      <c r="K23" s="23">
        <v>3.4</v>
      </c>
      <c r="L23" s="23">
        <v>1860</v>
      </c>
      <c r="M23" s="23">
        <v>18.600000000000001</v>
      </c>
      <c r="N23" s="23">
        <v>1.0999999999999999E-2</v>
      </c>
      <c r="O23" s="23">
        <v>348</v>
      </c>
      <c r="P23" s="23">
        <v>122</v>
      </c>
      <c r="Q23" s="23">
        <v>461</v>
      </c>
      <c r="R23" s="23">
        <v>4.0000000000000001E-3</v>
      </c>
      <c r="S23" s="23">
        <v>32</v>
      </c>
      <c r="T23" s="23" t="s">
        <v>486</v>
      </c>
      <c r="U23" s="23" t="s">
        <v>486</v>
      </c>
      <c r="V23" s="23" t="s">
        <v>486</v>
      </c>
      <c r="W23" s="23">
        <v>32</v>
      </c>
      <c r="X23" s="23">
        <v>3260</v>
      </c>
      <c r="Y23" s="23">
        <v>7.0000000000000007E-2</v>
      </c>
      <c r="Z23" s="23">
        <v>0.13</v>
      </c>
      <c r="AA23" s="23">
        <v>790</v>
      </c>
      <c r="AB23" s="23">
        <v>7.7</v>
      </c>
    </row>
    <row r="24" spans="1:28" x14ac:dyDescent="0.25">
      <c r="A24" s="7" t="s">
        <v>366</v>
      </c>
      <c r="B24" s="7" t="s">
        <v>367</v>
      </c>
      <c r="C24" s="18">
        <v>45456</v>
      </c>
      <c r="D24" s="19">
        <v>0.64583333333333337</v>
      </c>
      <c r="E24" s="7" t="s">
        <v>129</v>
      </c>
      <c r="F24" s="23">
        <v>7.0000000000000001E-3</v>
      </c>
      <c r="G24" s="23">
        <v>129</v>
      </c>
      <c r="H24" s="23" t="s">
        <v>498</v>
      </c>
      <c r="I24" s="23">
        <v>320</v>
      </c>
      <c r="J24" s="23">
        <v>14700</v>
      </c>
      <c r="K24" s="23">
        <v>2.1</v>
      </c>
      <c r="L24" s="23">
        <v>3890</v>
      </c>
      <c r="M24" s="23">
        <v>38.9</v>
      </c>
      <c r="N24" s="23">
        <v>2.1000000000000001E-2</v>
      </c>
      <c r="O24" s="23">
        <v>158</v>
      </c>
      <c r="P24" s="23">
        <v>388</v>
      </c>
      <c r="Q24" s="23">
        <v>954</v>
      </c>
      <c r="R24" s="23">
        <v>3.0000000000000001E-3</v>
      </c>
      <c r="S24" s="23">
        <v>0.22</v>
      </c>
      <c r="T24" s="23" t="s">
        <v>486</v>
      </c>
      <c r="U24" s="23">
        <v>6.9</v>
      </c>
      <c r="V24" s="23">
        <v>6.9</v>
      </c>
      <c r="W24" s="23">
        <v>7.3</v>
      </c>
      <c r="X24" s="23">
        <v>8460</v>
      </c>
      <c r="Y24" s="23">
        <v>0.1</v>
      </c>
      <c r="Z24" s="23">
        <v>0.12</v>
      </c>
      <c r="AA24" s="23">
        <v>2300</v>
      </c>
      <c r="AB24" s="23">
        <v>7.6</v>
      </c>
    </row>
    <row r="25" spans="1:28" x14ac:dyDescent="0.25">
      <c r="A25" s="7" t="s">
        <v>369</v>
      </c>
      <c r="B25" s="7" t="s">
        <v>370</v>
      </c>
      <c r="C25" s="18">
        <v>45456</v>
      </c>
      <c r="D25" s="19">
        <v>0.65277777777777779</v>
      </c>
      <c r="E25" s="7" t="s">
        <v>129</v>
      </c>
      <c r="F25" s="23" t="s">
        <v>499</v>
      </c>
      <c r="G25" s="23">
        <v>121</v>
      </c>
      <c r="H25" s="23" t="s">
        <v>498</v>
      </c>
      <c r="I25" s="23">
        <v>396</v>
      </c>
      <c r="J25" s="23">
        <v>19800</v>
      </c>
      <c r="K25" s="23">
        <v>1.3</v>
      </c>
      <c r="L25" s="23">
        <v>5100</v>
      </c>
      <c r="M25" s="23">
        <v>51</v>
      </c>
      <c r="N25" s="23" t="s">
        <v>499</v>
      </c>
      <c r="O25" s="23">
        <v>148</v>
      </c>
      <c r="P25" s="23">
        <v>490</v>
      </c>
      <c r="Q25" s="23">
        <v>1310</v>
      </c>
      <c r="R25" s="23" t="s">
        <v>497</v>
      </c>
      <c r="S25" s="23">
        <v>0.54</v>
      </c>
      <c r="T25" s="23" t="s">
        <v>486</v>
      </c>
      <c r="U25" s="23">
        <v>0.96</v>
      </c>
      <c r="V25" s="23">
        <v>0.96</v>
      </c>
      <c r="W25" s="23">
        <v>1.7</v>
      </c>
      <c r="X25" s="23">
        <v>10700</v>
      </c>
      <c r="Y25" s="23">
        <v>7.0000000000000007E-2</v>
      </c>
      <c r="Z25" s="23">
        <v>8.1000000000000003E-2</v>
      </c>
      <c r="AA25" s="23">
        <v>2700</v>
      </c>
      <c r="AB25" s="23">
        <v>7.6</v>
      </c>
    </row>
    <row r="26" spans="1:28" x14ac:dyDescent="0.25">
      <c r="A26" s="7" t="s">
        <v>372</v>
      </c>
      <c r="B26" s="7" t="s">
        <v>373</v>
      </c>
      <c r="C26" s="18">
        <v>45456</v>
      </c>
      <c r="D26" s="19">
        <v>0.65972222222222221</v>
      </c>
      <c r="E26" s="7" t="s">
        <v>129</v>
      </c>
      <c r="F26" s="23" t="s">
        <v>499</v>
      </c>
      <c r="G26" s="23">
        <v>113</v>
      </c>
      <c r="H26" s="23" t="s">
        <v>498</v>
      </c>
      <c r="I26" s="23">
        <v>389</v>
      </c>
      <c r="J26" s="23">
        <v>20400</v>
      </c>
      <c r="K26" s="23">
        <v>1.1000000000000001</v>
      </c>
      <c r="L26" s="23">
        <v>5160</v>
      </c>
      <c r="M26" s="23">
        <v>51.6</v>
      </c>
      <c r="N26" s="23" t="s">
        <v>499</v>
      </c>
      <c r="O26" s="23">
        <v>138</v>
      </c>
      <c r="P26" s="23">
        <v>492</v>
      </c>
      <c r="Q26" s="23">
        <v>1300</v>
      </c>
      <c r="R26" s="23" t="s">
        <v>497</v>
      </c>
      <c r="S26" s="23" t="s">
        <v>486</v>
      </c>
      <c r="T26" s="23" t="s">
        <v>486</v>
      </c>
      <c r="U26" s="23">
        <v>0.51</v>
      </c>
      <c r="V26" s="23">
        <v>0.51</v>
      </c>
      <c r="W26" s="23">
        <v>0.67</v>
      </c>
      <c r="X26" s="23">
        <v>10700</v>
      </c>
      <c r="Y26" s="23">
        <v>0.02</v>
      </c>
      <c r="Z26" s="23">
        <v>4.5999999999999999E-2</v>
      </c>
      <c r="AA26" s="23">
        <v>2700</v>
      </c>
      <c r="AB26" s="23">
        <v>7.6</v>
      </c>
    </row>
    <row r="27" spans="1:28" x14ac:dyDescent="0.25">
      <c r="A27" s="7" t="s">
        <v>374</v>
      </c>
      <c r="B27" s="7" t="s">
        <v>375</v>
      </c>
      <c r="C27" s="18">
        <v>45456</v>
      </c>
      <c r="D27" s="19">
        <v>0.66736111111111107</v>
      </c>
      <c r="E27" s="7" t="s">
        <v>129</v>
      </c>
      <c r="F27" s="23" t="s">
        <v>497</v>
      </c>
      <c r="G27" s="23">
        <v>281</v>
      </c>
      <c r="H27" s="23" t="s">
        <v>498</v>
      </c>
      <c r="I27" s="23">
        <v>264</v>
      </c>
      <c r="J27" s="23">
        <v>8580</v>
      </c>
      <c r="K27" s="23">
        <v>2.8</v>
      </c>
      <c r="L27" s="23">
        <v>2430</v>
      </c>
      <c r="M27" s="23">
        <v>24.3</v>
      </c>
      <c r="N27" s="23">
        <v>2.1999999999999999E-2</v>
      </c>
      <c r="O27" s="23">
        <v>342</v>
      </c>
      <c r="P27" s="23">
        <v>189</v>
      </c>
      <c r="Q27" s="23">
        <v>574</v>
      </c>
      <c r="R27" s="23">
        <v>1.0999999999999999E-2</v>
      </c>
      <c r="S27" s="23">
        <v>13</v>
      </c>
      <c r="T27" s="23" t="s">
        <v>486</v>
      </c>
      <c r="U27" s="23" t="s">
        <v>486</v>
      </c>
      <c r="V27" s="23" t="s">
        <v>486</v>
      </c>
      <c r="W27" s="23">
        <v>13</v>
      </c>
      <c r="X27" s="23">
        <v>4270</v>
      </c>
      <c r="Y27" s="23">
        <v>0.05</v>
      </c>
      <c r="Z27" s="23">
        <v>0.2</v>
      </c>
      <c r="AA27" s="23">
        <v>1300</v>
      </c>
      <c r="AB27" s="23">
        <v>7.7</v>
      </c>
    </row>
    <row r="28" spans="1:28" x14ac:dyDescent="0.25">
      <c r="A28" s="7" t="s">
        <v>374</v>
      </c>
      <c r="B28" s="7" t="s">
        <v>376</v>
      </c>
      <c r="C28" s="18">
        <v>45456</v>
      </c>
      <c r="D28" s="19">
        <v>0.67152777777777772</v>
      </c>
      <c r="E28" s="7" t="s">
        <v>172</v>
      </c>
      <c r="F28" s="23" t="s">
        <v>499</v>
      </c>
      <c r="G28" s="23">
        <v>127</v>
      </c>
      <c r="H28" s="23" t="s">
        <v>498</v>
      </c>
      <c r="I28" s="23">
        <v>386</v>
      </c>
      <c r="J28" s="23">
        <v>19800</v>
      </c>
      <c r="K28" s="23">
        <v>1.3</v>
      </c>
      <c r="L28" s="23">
        <v>5200</v>
      </c>
      <c r="M28" s="23">
        <v>52</v>
      </c>
      <c r="N28" s="23" t="s">
        <v>499</v>
      </c>
      <c r="O28" s="23">
        <v>154</v>
      </c>
      <c r="P28" s="23">
        <v>483</v>
      </c>
      <c r="Q28" s="23">
        <v>1290</v>
      </c>
      <c r="R28" s="23" t="s">
        <v>497</v>
      </c>
      <c r="S28" s="23">
        <v>0.41</v>
      </c>
      <c r="T28" s="23" t="s">
        <v>486</v>
      </c>
      <c r="U28" s="23">
        <v>0.08</v>
      </c>
      <c r="V28" s="23">
        <v>0.08</v>
      </c>
      <c r="W28" s="23">
        <v>0.63</v>
      </c>
      <c r="X28" s="23">
        <v>10600</v>
      </c>
      <c r="Y28" s="23" t="s">
        <v>486</v>
      </c>
      <c r="Z28" s="23">
        <v>1.4E-2</v>
      </c>
      <c r="AA28" s="23">
        <v>2600</v>
      </c>
      <c r="AB28" s="23">
        <v>7.8</v>
      </c>
    </row>
    <row r="29" spans="1:28" x14ac:dyDescent="0.25">
      <c r="A29" s="7" t="s">
        <v>377</v>
      </c>
      <c r="B29" s="7" t="s">
        <v>378</v>
      </c>
      <c r="C29" s="18">
        <v>45278</v>
      </c>
      <c r="D29" s="19">
        <v>0.375</v>
      </c>
      <c r="E29" s="7" t="s">
        <v>379</v>
      </c>
      <c r="F29" s="23">
        <v>7.0000000000000001E-3</v>
      </c>
      <c r="G29" s="23">
        <v>274</v>
      </c>
      <c r="H29" s="23" t="s">
        <v>498</v>
      </c>
      <c r="I29" s="23">
        <v>395</v>
      </c>
      <c r="J29" s="23">
        <v>21000</v>
      </c>
      <c r="K29" s="23">
        <v>3</v>
      </c>
      <c r="L29" s="23">
        <v>5320</v>
      </c>
      <c r="M29" s="23">
        <v>53.2</v>
      </c>
      <c r="N29" s="23">
        <v>1.4999999999999999E-2</v>
      </c>
      <c r="O29" s="23">
        <v>334</v>
      </c>
      <c r="P29" s="23">
        <v>462</v>
      </c>
      <c r="Q29" s="23">
        <v>1240</v>
      </c>
      <c r="R29" s="23">
        <v>4.0000000000000001E-3</v>
      </c>
      <c r="S29" s="23">
        <v>0.28999999999999998</v>
      </c>
      <c r="T29" s="23" t="s">
        <v>486</v>
      </c>
      <c r="U29" s="23" t="s">
        <v>486</v>
      </c>
      <c r="V29" s="23" t="s">
        <v>486</v>
      </c>
      <c r="W29" s="23">
        <v>0.84</v>
      </c>
      <c r="X29" s="23">
        <v>10400</v>
      </c>
      <c r="Y29" s="23">
        <v>0.02</v>
      </c>
      <c r="Z29" s="23">
        <v>5.8000000000000003E-2</v>
      </c>
      <c r="AA29" s="23">
        <v>2250</v>
      </c>
      <c r="AB29" s="23">
        <v>7.9</v>
      </c>
    </row>
    <row r="30" spans="1:28" x14ac:dyDescent="0.25">
      <c r="A30" s="7" t="s">
        <v>380</v>
      </c>
      <c r="B30" s="7" t="s">
        <v>381</v>
      </c>
      <c r="C30" s="18">
        <v>45278</v>
      </c>
      <c r="D30" s="19">
        <v>0.38472222222222219</v>
      </c>
      <c r="E30" s="7" t="s">
        <v>379</v>
      </c>
      <c r="F30" s="23" t="s">
        <v>497</v>
      </c>
      <c r="G30" s="23">
        <v>222</v>
      </c>
      <c r="H30" s="23" t="s">
        <v>498</v>
      </c>
      <c r="I30" s="23">
        <v>343</v>
      </c>
      <c r="J30" s="23">
        <v>16000</v>
      </c>
      <c r="K30" s="23">
        <v>2.6</v>
      </c>
      <c r="L30" s="23">
        <v>4100</v>
      </c>
      <c r="M30" s="23">
        <v>41</v>
      </c>
      <c r="N30" s="23">
        <v>1.0999999999999999E-2</v>
      </c>
      <c r="O30" s="23">
        <v>271</v>
      </c>
      <c r="P30" s="23">
        <v>339</v>
      </c>
      <c r="Q30" s="23">
        <v>960</v>
      </c>
      <c r="R30" s="23">
        <v>7.0000000000000001E-3</v>
      </c>
      <c r="S30" s="23">
        <v>0.74</v>
      </c>
      <c r="T30" s="23" t="s">
        <v>486</v>
      </c>
      <c r="U30" s="23" t="s">
        <v>486</v>
      </c>
      <c r="V30" s="23" t="s">
        <v>486</v>
      </c>
      <c r="W30" s="23">
        <v>1.2</v>
      </c>
      <c r="X30" s="23">
        <v>7910</v>
      </c>
      <c r="Y30" s="23">
        <v>0.04</v>
      </c>
      <c r="Z30" s="23">
        <v>5.6000000000000001E-2</v>
      </c>
      <c r="AA30" s="23">
        <v>1790</v>
      </c>
      <c r="AB30" s="23">
        <v>7.7</v>
      </c>
    </row>
    <row r="31" spans="1:28" x14ac:dyDescent="0.25">
      <c r="A31" s="7" t="s">
        <v>382</v>
      </c>
      <c r="B31" s="7" t="s">
        <v>383</v>
      </c>
      <c r="C31" s="18">
        <v>45278</v>
      </c>
      <c r="D31" s="19">
        <v>0.41250000000000003</v>
      </c>
      <c r="E31" s="7" t="s">
        <v>379</v>
      </c>
      <c r="F31" s="23">
        <v>6.0000000000000001E-3</v>
      </c>
      <c r="G31" s="23">
        <v>181</v>
      </c>
      <c r="H31" s="23" t="s">
        <v>498</v>
      </c>
      <c r="I31" s="23">
        <v>404</v>
      </c>
      <c r="J31" s="23">
        <v>22000</v>
      </c>
      <c r="K31" s="23">
        <v>2.2999999999999998</v>
      </c>
      <c r="L31" s="23">
        <v>5350</v>
      </c>
      <c r="M31" s="23">
        <v>53.5</v>
      </c>
      <c r="N31" s="23">
        <v>1.7999999999999999E-2</v>
      </c>
      <c r="O31" s="23">
        <v>221</v>
      </c>
      <c r="P31" s="23">
        <v>472</v>
      </c>
      <c r="Q31" s="23">
        <v>1270</v>
      </c>
      <c r="R31" s="23">
        <v>1E-3</v>
      </c>
      <c r="S31" s="23">
        <v>0.03</v>
      </c>
      <c r="T31" s="23" t="s">
        <v>486</v>
      </c>
      <c r="U31" s="23" t="s">
        <v>486</v>
      </c>
      <c r="V31" s="23" t="s">
        <v>486</v>
      </c>
      <c r="W31" s="23">
        <v>0.37</v>
      </c>
      <c r="X31" s="23">
        <v>10700</v>
      </c>
      <c r="Y31" s="23" t="s">
        <v>486</v>
      </c>
      <c r="Z31" s="23">
        <v>3.2000000000000001E-2</v>
      </c>
      <c r="AA31" s="23">
        <v>2130</v>
      </c>
      <c r="AB31" s="23">
        <v>7.9</v>
      </c>
    </row>
    <row r="32" spans="1:28" x14ac:dyDescent="0.25">
      <c r="A32" s="7" t="s">
        <v>384</v>
      </c>
      <c r="B32" s="7" t="s">
        <v>385</v>
      </c>
      <c r="C32" s="18">
        <v>45278</v>
      </c>
      <c r="D32" s="19">
        <v>0.42638888888888887</v>
      </c>
      <c r="E32" s="7" t="s">
        <v>379</v>
      </c>
      <c r="F32" s="23">
        <v>0.01</v>
      </c>
      <c r="G32" s="23">
        <v>144</v>
      </c>
      <c r="H32" s="23" t="s">
        <v>498</v>
      </c>
      <c r="I32" s="23">
        <v>405</v>
      </c>
      <c r="J32" s="23">
        <v>23000</v>
      </c>
      <c r="K32" s="23">
        <v>3.2</v>
      </c>
      <c r="L32" s="23">
        <v>5390</v>
      </c>
      <c r="M32" s="23">
        <v>53.9</v>
      </c>
      <c r="N32" s="23">
        <v>0.25</v>
      </c>
      <c r="O32" s="23">
        <v>176</v>
      </c>
      <c r="P32" s="23">
        <v>475</v>
      </c>
      <c r="Q32" s="23">
        <v>1260</v>
      </c>
      <c r="R32" s="23">
        <v>2E-3</v>
      </c>
      <c r="S32" s="23">
        <v>0.04</v>
      </c>
      <c r="T32" s="23" t="s">
        <v>486</v>
      </c>
      <c r="U32" s="23" t="s">
        <v>486</v>
      </c>
      <c r="V32" s="23" t="s">
        <v>486</v>
      </c>
      <c r="W32" s="23">
        <v>0.25</v>
      </c>
      <c r="X32" s="23">
        <v>10700</v>
      </c>
      <c r="Y32" s="23" t="s">
        <v>486</v>
      </c>
      <c r="Z32" s="23">
        <v>2.9000000000000001E-2</v>
      </c>
      <c r="AA32" s="23">
        <v>2150</v>
      </c>
      <c r="AB32" s="23">
        <v>7.8</v>
      </c>
    </row>
    <row r="33" spans="1:28" x14ac:dyDescent="0.25">
      <c r="A33" s="7" t="s">
        <v>386</v>
      </c>
      <c r="B33" s="7" t="s">
        <v>387</v>
      </c>
      <c r="C33" s="18">
        <v>45278</v>
      </c>
      <c r="D33" s="19">
        <v>0.44027777777777777</v>
      </c>
      <c r="E33" s="7" t="s">
        <v>379</v>
      </c>
      <c r="F33" s="23">
        <v>1.2999999999999999E-2</v>
      </c>
      <c r="G33" s="23">
        <v>178</v>
      </c>
      <c r="H33" s="23" t="s">
        <v>498</v>
      </c>
      <c r="I33" s="23">
        <v>407</v>
      </c>
      <c r="J33" s="23">
        <v>21000</v>
      </c>
      <c r="K33" s="23">
        <v>3.5</v>
      </c>
      <c r="L33" s="23">
        <v>5400</v>
      </c>
      <c r="M33" s="23">
        <v>54</v>
      </c>
      <c r="N33" s="23">
        <v>0.02</v>
      </c>
      <c r="O33" s="23">
        <v>217</v>
      </c>
      <c r="P33" s="23">
        <v>477</v>
      </c>
      <c r="Q33" s="23">
        <v>1280</v>
      </c>
      <c r="R33" s="23" t="s">
        <v>500</v>
      </c>
      <c r="S33" s="23" t="s">
        <v>486</v>
      </c>
      <c r="T33" s="23" t="s">
        <v>486</v>
      </c>
      <c r="U33" s="23" t="s">
        <v>486</v>
      </c>
      <c r="V33" s="23" t="s">
        <v>486</v>
      </c>
      <c r="W33" s="23">
        <v>0.22</v>
      </c>
      <c r="X33" s="23">
        <v>10800</v>
      </c>
      <c r="Y33" s="23" t="s">
        <v>486</v>
      </c>
      <c r="Z33" s="23">
        <v>2.5000000000000001E-2</v>
      </c>
      <c r="AA33" s="23">
        <v>2200</v>
      </c>
      <c r="AB33" s="23">
        <v>7.8</v>
      </c>
    </row>
    <row r="34" spans="1:28" x14ac:dyDescent="0.25">
      <c r="A34" s="7" t="s">
        <v>388</v>
      </c>
      <c r="B34" s="7" t="s">
        <v>389</v>
      </c>
      <c r="C34" s="18">
        <v>45278</v>
      </c>
      <c r="D34" s="19">
        <v>0.45347222222222222</v>
      </c>
      <c r="E34" s="7" t="s">
        <v>379</v>
      </c>
      <c r="F34" s="23">
        <v>8.9999999999999993E-3</v>
      </c>
      <c r="G34" s="23">
        <v>133</v>
      </c>
      <c r="H34" s="23" t="s">
        <v>498</v>
      </c>
      <c r="I34" s="23">
        <v>406</v>
      </c>
      <c r="J34" s="23">
        <v>22000</v>
      </c>
      <c r="K34" s="23">
        <v>4</v>
      </c>
      <c r="L34" s="23">
        <v>5450</v>
      </c>
      <c r="M34" s="23">
        <v>54.5</v>
      </c>
      <c r="N34" s="23">
        <v>0.14000000000000001</v>
      </c>
      <c r="O34" s="23">
        <v>162</v>
      </c>
      <c r="P34" s="23">
        <v>476</v>
      </c>
      <c r="Q34" s="23">
        <v>1270</v>
      </c>
      <c r="R34" s="23">
        <v>3.0000000000000001E-3</v>
      </c>
      <c r="S34" s="23">
        <v>0.04</v>
      </c>
      <c r="T34" s="23" t="s">
        <v>486</v>
      </c>
      <c r="U34" s="23" t="s">
        <v>486</v>
      </c>
      <c r="V34" s="23" t="s">
        <v>486</v>
      </c>
      <c r="W34" s="23">
        <v>0.2</v>
      </c>
      <c r="X34" s="23">
        <v>10800</v>
      </c>
      <c r="Y34" s="23" t="s">
        <v>486</v>
      </c>
      <c r="Z34" s="23">
        <v>0.02</v>
      </c>
      <c r="AA34" s="23">
        <v>2120</v>
      </c>
      <c r="AB34" s="23">
        <v>7.9</v>
      </c>
    </row>
    <row r="35" spans="1:28" x14ac:dyDescent="0.25">
      <c r="A35" s="7" t="s">
        <v>390</v>
      </c>
      <c r="B35" s="7" t="s">
        <v>391</v>
      </c>
      <c r="C35" s="18">
        <v>45278</v>
      </c>
      <c r="D35" s="19">
        <v>0.45833333333333331</v>
      </c>
      <c r="E35" s="7" t="s">
        <v>379</v>
      </c>
      <c r="F35" s="23" t="s">
        <v>497</v>
      </c>
      <c r="G35" s="23">
        <v>334</v>
      </c>
      <c r="H35" s="23" t="s">
        <v>498</v>
      </c>
      <c r="I35" s="23">
        <v>98.5</v>
      </c>
      <c r="J35" s="23">
        <v>1300</v>
      </c>
      <c r="K35" s="23">
        <v>3.9</v>
      </c>
      <c r="L35" s="23">
        <v>489</v>
      </c>
      <c r="M35" s="23">
        <v>4.8899999999999997</v>
      </c>
      <c r="N35" s="23" t="s">
        <v>497</v>
      </c>
      <c r="O35" s="23">
        <v>407</v>
      </c>
      <c r="P35" s="23">
        <v>29.3</v>
      </c>
      <c r="Q35" s="23">
        <v>75.900000000000006</v>
      </c>
      <c r="R35" s="23">
        <v>1E-3</v>
      </c>
      <c r="S35" s="23" t="s">
        <v>486</v>
      </c>
      <c r="T35" s="23" t="s">
        <v>486</v>
      </c>
      <c r="U35" s="23">
        <v>6.9</v>
      </c>
      <c r="V35" s="23">
        <v>6.9</v>
      </c>
      <c r="W35" s="23">
        <v>6.9</v>
      </c>
      <c r="X35" s="23">
        <v>624</v>
      </c>
      <c r="Y35" s="23">
        <v>0.02</v>
      </c>
      <c r="Z35" s="23">
        <v>2.5999999999999999E-2</v>
      </c>
      <c r="AA35" s="23">
        <v>189</v>
      </c>
      <c r="AB35" s="23">
        <v>7.8</v>
      </c>
    </row>
    <row r="36" spans="1:28" x14ac:dyDescent="0.25">
      <c r="A36" s="7" t="s">
        <v>392</v>
      </c>
      <c r="B36" s="7" t="s">
        <v>393</v>
      </c>
      <c r="C36" s="18">
        <v>45278</v>
      </c>
      <c r="D36" s="19">
        <v>0.4694444444444445</v>
      </c>
      <c r="E36" s="7" t="s">
        <v>379</v>
      </c>
      <c r="F36" s="23" t="s">
        <v>497</v>
      </c>
      <c r="G36" s="23">
        <v>179</v>
      </c>
      <c r="H36" s="23" t="s">
        <v>498</v>
      </c>
      <c r="I36" s="23">
        <v>375</v>
      </c>
      <c r="J36" s="23">
        <v>20000</v>
      </c>
      <c r="K36" s="23">
        <v>5</v>
      </c>
      <c r="L36" s="23">
        <v>4780</v>
      </c>
      <c r="M36" s="23">
        <v>47.8</v>
      </c>
      <c r="N36" s="23" t="s">
        <v>497</v>
      </c>
      <c r="O36" s="23">
        <v>218</v>
      </c>
      <c r="P36" s="23">
        <v>396</v>
      </c>
      <c r="Q36" s="23">
        <v>1090</v>
      </c>
      <c r="R36" s="23">
        <v>1.7000000000000001E-2</v>
      </c>
      <c r="S36" s="23">
        <v>0.04</v>
      </c>
      <c r="T36" s="23">
        <v>0.02</v>
      </c>
      <c r="U36" s="23">
        <v>0.16</v>
      </c>
      <c r="V36" s="23">
        <v>0.18</v>
      </c>
      <c r="W36" s="23">
        <v>0.42</v>
      </c>
      <c r="X36" s="23">
        <v>9180</v>
      </c>
      <c r="Y36" s="23">
        <v>0.08</v>
      </c>
      <c r="Z36" s="23">
        <v>0.1</v>
      </c>
      <c r="AA36" s="23">
        <v>1940</v>
      </c>
      <c r="AB36" s="23">
        <v>7.7</v>
      </c>
    </row>
    <row r="37" spans="1:28" x14ac:dyDescent="0.25">
      <c r="A37" s="7" t="s">
        <v>394</v>
      </c>
      <c r="B37" s="7" t="s">
        <v>395</v>
      </c>
      <c r="C37" s="18">
        <v>45278</v>
      </c>
      <c r="D37" s="19">
        <v>0.48402777777777778</v>
      </c>
      <c r="E37" s="7" t="s">
        <v>379</v>
      </c>
      <c r="F37" s="23">
        <v>6.0000000000000001E-3</v>
      </c>
      <c r="G37" s="23">
        <v>133</v>
      </c>
      <c r="H37" s="23" t="s">
        <v>498</v>
      </c>
      <c r="I37" s="23">
        <v>404</v>
      </c>
      <c r="J37" s="23">
        <v>24000</v>
      </c>
      <c r="K37" s="23">
        <v>6.8</v>
      </c>
      <c r="L37" s="23">
        <v>5430</v>
      </c>
      <c r="M37" s="23">
        <v>54.3</v>
      </c>
      <c r="N37" s="23">
        <v>0.19</v>
      </c>
      <c r="O37" s="23">
        <v>162</v>
      </c>
      <c r="P37" s="23">
        <v>473</v>
      </c>
      <c r="Q37" s="23">
        <v>1260</v>
      </c>
      <c r="R37" s="23">
        <v>3.0000000000000001E-3</v>
      </c>
      <c r="S37" s="23">
        <v>0.46</v>
      </c>
      <c r="T37" s="23" t="s">
        <v>486</v>
      </c>
      <c r="U37" s="23" t="s">
        <v>486</v>
      </c>
      <c r="V37" s="23" t="s">
        <v>486</v>
      </c>
      <c r="W37" s="23">
        <v>0.78</v>
      </c>
      <c r="X37" s="23">
        <v>10700</v>
      </c>
      <c r="Y37" s="23">
        <v>0.03</v>
      </c>
      <c r="Z37" s="23">
        <v>4.7E-2</v>
      </c>
      <c r="AA37" s="23">
        <v>2220</v>
      </c>
      <c r="AB37" s="23">
        <v>7.8</v>
      </c>
    </row>
    <row r="38" spans="1:28" x14ac:dyDescent="0.25">
      <c r="A38" s="7" t="s">
        <v>396</v>
      </c>
      <c r="B38" s="7" t="s">
        <v>397</v>
      </c>
      <c r="C38" s="18">
        <v>45278</v>
      </c>
      <c r="D38" s="19">
        <v>0.4916666666666667</v>
      </c>
      <c r="E38" s="7" t="s">
        <v>379</v>
      </c>
      <c r="F38" s="23">
        <v>7.0000000000000001E-3</v>
      </c>
      <c r="G38" s="23">
        <v>137</v>
      </c>
      <c r="H38" s="23" t="s">
        <v>498</v>
      </c>
      <c r="I38" s="23">
        <v>409</v>
      </c>
      <c r="J38" s="23">
        <v>22000</v>
      </c>
      <c r="K38" s="23">
        <v>4.9000000000000004</v>
      </c>
      <c r="L38" s="23">
        <v>5440</v>
      </c>
      <c r="M38" s="23">
        <v>54.4</v>
      </c>
      <c r="N38" s="23">
        <v>5.2999999999999999E-2</v>
      </c>
      <c r="O38" s="23">
        <v>167</v>
      </c>
      <c r="P38" s="23">
        <v>477</v>
      </c>
      <c r="Q38" s="23">
        <v>1270</v>
      </c>
      <c r="R38" s="23">
        <v>2E-3</v>
      </c>
      <c r="S38" s="23">
        <v>0.26</v>
      </c>
      <c r="T38" s="23" t="s">
        <v>486</v>
      </c>
      <c r="U38" s="23" t="s">
        <v>486</v>
      </c>
      <c r="V38" s="23" t="s">
        <v>486</v>
      </c>
      <c r="W38" s="23">
        <v>0.52</v>
      </c>
      <c r="X38" s="23">
        <v>10800</v>
      </c>
      <c r="Y38" s="23">
        <v>0.03</v>
      </c>
      <c r="Z38" s="23">
        <v>0.05</v>
      </c>
      <c r="AA38" s="23">
        <v>2060</v>
      </c>
      <c r="AB38" s="23">
        <v>7.9</v>
      </c>
    </row>
    <row r="39" spans="1:28" x14ac:dyDescent="0.25">
      <c r="A39" s="7" t="s">
        <v>398</v>
      </c>
      <c r="B39" s="7" t="s">
        <v>399</v>
      </c>
      <c r="C39" s="18">
        <v>45278</v>
      </c>
      <c r="D39" s="19">
        <v>0.5</v>
      </c>
      <c r="E39" s="7" t="s">
        <v>379</v>
      </c>
      <c r="F39" s="23">
        <v>1.4E-2</v>
      </c>
      <c r="G39" s="23">
        <v>140</v>
      </c>
      <c r="H39" s="23" t="s">
        <v>498</v>
      </c>
      <c r="I39" s="23">
        <v>400</v>
      </c>
      <c r="J39" s="23">
        <v>21000</v>
      </c>
      <c r="K39" s="23">
        <v>2.8</v>
      </c>
      <c r="L39" s="23">
        <v>5360</v>
      </c>
      <c r="M39" s="23">
        <v>53.6</v>
      </c>
      <c r="N39" s="23">
        <v>1.0999999999999999E-2</v>
      </c>
      <c r="O39" s="23">
        <v>171</v>
      </c>
      <c r="P39" s="23">
        <v>467</v>
      </c>
      <c r="Q39" s="23">
        <v>1240</v>
      </c>
      <c r="R39" s="23">
        <v>1.4E-2</v>
      </c>
      <c r="S39" s="23">
        <v>0.47</v>
      </c>
      <c r="T39" s="23" t="s">
        <v>486</v>
      </c>
      <c r="U39" s="23" t="s">
        <v>486</v>
      </c>
      <c r="V39" s="23" t="s">
        <v>486</v>
      </c>
      <c r="W39" s="23">
        <v>0.76</v>
      </c>
      <c r="X39" s="23">
        <v>10600</v>
      </c>
      <c r="Y39" s="23">
        <v>0.08</v>
      </c>
      <c r="Z39" s="23">
        <v>0.1</v>
      </c>
      <c r="AA39" s="23">
        <v>2130</v>
      </c>
      <c r="AB39" s="23">
        <v>7.9</v>
      </c>
    </row>
    <row r="40" spans="1:28" x14ac:dyDescent="0.25">
      <c r="A40" s="7" t="s">
        <v>400</v>
      </c>
      <c r="B40" s="7" t="s">
        <v>401</v>
      </c>
      <c r="C40" s="18">
        <v>45278</v>
      </c>
      <c r="D40" s="19">
        <v>0.5083333333333333</v>
      </c>
      <c r="E40" s="7" t="s">
        <v>379</v>
      </c>
      <c r="F40" s="23">
        <v>2.5000000000000001E-2</v>
      </c>
      <c r="G40" s="23">
        <v>175</v>
      </c>
      <c r="H40" s="23" t="s">
        <v>498</v>
      </c>
      <c r="I40" s="23">
        <v>404</v>
      </c>
      <c r="J40" s="23">
        <v>23000</v>
      </c>
      <c r="K40" s="23">
        <v>9.1</v>
      </c>
      <c r="L40" s="23">
        <v>5400</v>
      </c>
      <c r="M40" s="23">
        <v>54</v>
      </c>
      <c r="N40" s="23">
        <v>0.01</v>
      </c>
      <c r="O40" s="23">
        <v>214</v>
      </c>
      <c r="P40" s="23">
        <v>473</v>
      </c>
      <c r="Q40" s="23">
        <v>1260</v>
      </c>
      <c r="R40" s="23">
        <v>6.8000000000000005E-2</v>
      </c>
      <c r="S40" s="23">
        <v>0.56999999999999995</v>
      </c>
      <c r="T40" s="23" t="s">
        <v>486</v>
      </c>
      <c r="U40" s="23" t="s">
        <v>486</v>
      </c>
      <c r="V40" s="23" t="s">
        <v>486</v>
      </c>
      <c r="W40" s="23">
        <v>0.98</v>
      </c>
      <c r="X40" s="23">
        <v>10700</v>
      </c>
      <c r="Y40" s="23">
        <v>0.11</v>
      </c>
      <c r="Z40" s="23">
        <v>0.13</v>
      </c>
      <c r="AA40" s="23">
        <v>2300</v>
      </c>
      <c r="AB40" s="23">
        <v>7.9</v>
      </c>
    </row>
    <row r="41" spans="1:28" x14ac:dyDescent="0.25">
      <c r="A41" s="7" t="s">
        <v>402</v>
      </c>
      <c r="B41" s="7" t="s">
        <v>403</v>
      </c>
      <c r="C41" s="18">
        <v>45278</v>
      </c>
      <c r="D41" s="19">
        <v>0.52083333333333337</v>
      </c>
      <c r="E41" s="7" t="s">
        <v>379</v>
      </c>
      <c r="F41" s="23" t="s">
        <v>497</v>
      </c>
      <c r="G41" s="23">
        <v>167</v>
      </c>
      <c r="H41" s="23" t="s">
        <v>498</v>
      </c>
      <c r="I41" s="23">
        <v>393</v>
      </c>
      <c r="J41" s="23">
        <v>19000</v>
      </c>
      <c r="K41" s="23">
        <v>2.9</v>
      </c>
      <c r="L41" s="23">
        <v>5210</v>
      </c>
      <c r="M41" s="23">
        <v>52.1</v>
      </c>
      <c r="N41" s="23">
        <v>1.2E-2</v>
      </c>
      <c r="O41" s="23">
        <v>204</v>
      </c>
      <c r="P41" s="23">
        <v>449</v>
      </c>
      <c r="Q41" s="23">
        <v>1190</v>
      </c>
      <c r="R41" s="23">
        <v>5.0000000000000001E-3</v>
      </c>
      <c r="S41" s="23">
        <v>6</v>
      </c>
      <c r="T41" s="23" t="s">
        <v>486</v>
      </c>
      <c r="U41" s="23" t="s">
        <v>486</v>
      </c>
      <c r="V41" s="23" t="s">
        <v>486</v>
      </c>
      <c r="W41" s="23">
        <v>6.6</v>
      </c>
      <c r="X41" s="23">
        <v>10200</v>
      </c>
      <c r="Y41" s="23">
        <v>7.0000000000000007E-2</v>
      </c>
      <c r="Z41" s="23">
        <v>7.8E-2</v>
      </c>
      <c r="AA41" s="23">
        <v>1860</v>
      </c>
      <c r="AB41" s="23">
        <v>7.8</v>
      </c>
    </row>
    <row r="42" spans="1:28" x14ac:dyDescent="0.25">
      <c r="A42" s="7" t="s">
        <v>404</v>
      </c>
      <c r="B42" s="7" t="s">
        <v>405</v>
      </c>
      <c r="C42" s="18">
        <v>45278</v>
      </c>
      <c r="D42" s="19">
        <v>0.52986111111111112</v>
      </c>
      <c r="E42" s="7" t="s">
        <v>379</v>
      </c>
      <c r="F42" s="23">
        <v>6.0000000000000001E-3</v>
      </c>
      <c r="G42" s="23">
        <v>136</v>
      </c>
      <c r="H42" s="23" t="s">
        <v>498</v>
      </c>
      <c r="I42" s="23">
        <v>397</v>
      </c>
      <c r="J42" s="23">
        <v>20000</v>
      </c>
      <c r="K42" s="23">
        <v>4.5</v>
      </c>
      <c r="L42" s="23">
        <v>5300</v>
      </c>
      <c r="M42" s="23">
        <v>53</v>
      </c>
      <c r="N42" s="23">
        <v>6.0000000000000001E-3</v>
      </c>
      <c r="O42" s="23">
        <v>166</v>
      </c>
      <c r="P42" s="23">
        <v>457</v>
      </c>
      <c r="Q42" s="23">
        <v>1230</v>
      </c>
      <c r="R42" s="23">
        <v>3.0000000000000001E-3</v>
      </c>
      <c r="S42" s="23">
        <v>2.6</v>
      </c>
      <c r="T42" s="23" t="s">
        <v>486</v>
      </c>
      <c r="U42" s="23" t="s">
        <v>486</v>
      </c>
      <c r="V42" s="23" t="s">
        <v>486</v>
      </c>
      <c r="W42" s="23">
        <v>3</v>
      </c>
      <c r="X42" s="23">
        <v>10300</v>
      </c>
      <c r="Y42" s="23">
        <v>0.05</v>
      </c>
      <c r="Z42" s="23">
        <v>6.5000000000000002E-2</v>
      </c>
      <c r="AA42" s="23">
        <v>2140</v>
      </c>
      <c r="AB42" s="23">
        <v>7.8</v>
      </c>
    </row>
    <row r="43" spans="1:28" x14ac:dyDescent="0.25">
      <c r="A43" s="7" t="s">
        <v>406</v>
      </c>
      <c r="B43" s="7" t="s">
        <v>407</v>
      </c>
      <c r="C43" s="18">
        <v>45278</v>
      </c>
      <c r="D43" s="19">
        <v>0.54166666666666663</v>
      </c>
      <c r="E43" s="7" t="s">
        <v>379</v>
      </c>
      <c r="F43" s="23">
        <v>5.0000000000000001E-3</v>
      </c>
      <c r="G43" s="23">
        <v>148</v>
      </c>
      <c r="H43" s="23" t="s">
        <v>498</v>
      </c>
      <c r="I43" s="23">
        <v>378</v>
      </c>
      <c r="J43" s="23">
        <v>20000</v>
      </c>
      <c r="K43" s="23">
        <v>6.1</v>
      </c>
      <c r="L43" s="23">
        <v>5090</v>
      </c>
      <c r="M43" s="23">
        <v>50.9</v>
      </c>
      <c r="N43" s="23">
        <v>1.4E-2</v>
      </c>
      <c r="O43" s="23">
        <v>181</v>
      </c>
      <c r="P43" s="23">
        <v>442</v>
      </c>
      <c r="Q43" s="23">
        <v>1180</v>
      </c>
      <c r="R43" s="23">
        <v>2E-3</v>
      </c>
      <c r="S43" s="23">
        <v>4.8</v>
      </c>
      <c r="T43" s="23" t="s">
        <v>486</v>
      </c>
      <c r="U43" s="23" t="s">
        <v>486</v>
      </c>
      <c r="V43" s="23" t="s">
        <v>486</v>
      </c>
      <c r="W43" s="23">
        <v>5.6</v>
      </c>
      <c r="X43" s="23">
        <v>9990</v>
      </c>
      <c r="Y43" s="23">
        <v>0.04</v>
      </c>
      <c r="Z43" s="23">
        <v>5.1999999999999998E-2</v>
      </c>
      <c r="AA43" s="23">
        <v>1980</v>
      </c>
      <c r="AB43" s="23">
        <v>7.8</v>
      </c>
    </row>
    <row r="44" spans="1:28" x14ac:dyDescent="0.25">
      <c r="A44" s="7" t="s">
        <v>408</v>
      </c>
      <c r="B44" s="7" t="s">
        <v>453</v>
      </c>
      <c r="C44" s="18">
        <v>45278</v>
      </c>
      <c r="D44" s="19">
        <v>0.54722222222222217</v>
      </c>
      <c r="E44" s="7" t="s">
        <v>379</v>
      </c>
      <c r="F44" s="23">
        <v>5.0000000000000001E-3</v>
      </c>
      <c r="G44" s="23">
        <v>142</v>
      </c>
      <c r="H44" s="23" t="s">
        <v>498</v>
      </c>
      <c r="I44" s="23">
        <v>406</v>
      </c>
      <c r="J44" s="23">
        <v>22000</v>
      </c>
      <c r="K44" s="23">
        <v>5.0999999999999996</v>
      </c>
      <c r="L44" s="23">
        <v>5440</v>
      </c>
      <c r="M44" s="23">
        <v>54.4</v>
      </c>
      <c r="N44" s="23">
        <v>1.2E-2</v>
      </c>
      <c r="O44" s="23">
        <v>173</v>
      </c>
      <c r="P44" s="23">
        <v>474</v>
      </c>
      <c r="Q44" s="23">
        <v>1260</v>
      </c>
      <c r="R44" s="23">
        <v>2E-3</v>
      </c>
      <c r="S44" s="23">
        <v>0.31</v>
      </c>
      <c r="T44" s="23" t="s">
        <v>486</v>
      </c>
      <c r="U44" s="23" t="s">
        <v>486</v>
      </c>
      <c r="V44" s="23" t="s">
        <v>486</v>
      </c>
      <c r="W44" s="23">
        <v>0.57999999999999996</v>
      </c>
      <c r="X44" s="23">
        <v>10700</v>
      </c>
      <c r="Y44" s="23">
        <v>0.05</v>
      </c>
      <c r="Z44" s="23">
        <v>7.4999999999999997E-2</v>
      </c>
      <c r="AA44" s="23">
        <v>2360</v>
      </c>
      <c r="AB44" s="23">
        <v>7.8</v>
      </c>
    </row>
    <row r="45" spans="1:28" x14ac:dyDescent="0.25">
      <c r="A45" s="7" t="s">
        <v>410</v>
      </c>
      <c r="B45" s="7" t="s">
        <v>411</v>
      </c>
      <c r="C45" s="18">
        <v>45278</v>
      </c>
      <c r="D45" s="19">
        <v>0.55902777777777779</v>
      </c>
      <c r="E45" s="7" t="s">
        <v>379</v>
      </c>
      <c r="F45" s="23">
        <v>6.0000000000000001E-3</v>
      </c>
      <c r="G45" s="23">
        <v>143</v>
      </c>
      <c r="H45" s="23" t="s">
        <v>498</v>
      </c>
      <c r="I45" s="23">
        <v>408</v>
      </c>
      <c r="J45" s="23">
        <v>23000</v>
      </c>
      <c r="K45" s="23">
        <v>2.2000000000000002</v>
      </c>
      <c r="L45" s="23">
        <v>5460</v>
      </c>
      <c r="M45" s="23">
        <v>54.6</v>
      </c>
      <c r="N45" s="23">
        <v>1.4999999999999999E-2</v>
      </c>
      <c r="O45" s="23">
        <v>174</v>
      </c>
      <c r="P45" s="23">
        <v>473</v>
      </c>
      <c r="Q45" s="23">
        <v>1270</v>
      </c>
      <c r="R45" s="23">
        <v>2E-3</v>
      </c>
      <c r="S45" s="23">
        <v>0.25</v>
      </c>
      <c r="T45" s="23" t="s">
        <v>486</v>
      </c>
      <c r="U45" s="23" t="s">
        <v>486</v>
      </c>
      <c r="V45" s="23" t="s">
        <v>486</v>
      </c>
      <c r="W45" s="23">
        <v>0.49</v>
      </c>
      <c r="X45" s="23">
        <v>10800</v>
      </c>
      <c r="Y45" s="23">
        <v>0.05</v>
      </c>
      <c r="Z45" s="23">
        <v>6.5000000000000002E-2</v>
      </c>
      <c r="AA45" s="23">
        <v>2190</v>
      </c>
      <c r="AB45" s="23">
        <v>7.9</v>
      </c>
    </row>
    <row r="46" spans="1:28" x14ac:dyDescent="0.25">
      <c r="A46" s="7" t="s">
        <v>412</v>
      </c>
      <c r="B46" s="7" t="s">
        <v>413</v>
      </c>
      <c r="C46" s="18">
        <v>45278</v>
      </c>
      <c r="D46" s="19">
        <v>0.56944444444444442</v>
      </c>
      <c r="E46" s="7" t="s">
        <v>379</v>
      </c>
      <c r="F46" s="23" t="s">
        <v>497</v>
      </c>
      <c r="G46" s="23">
        <v>132</v>
      </c>
      <c r="H46" s="23" t="s">
        <v>498</v>
      </c>
      <c r="I46" s="23">
        <v>405</v>
      </c>
      <c r="J46" s="23">
        <v>23000</v>
      </c>
      <c r="K46" s="23">
        <v>2.1</v>
      </c>
      <c r="L46" s="23">
        <v>5450</v>
      </c>
      <c r="M46" s="23">
        <v>54.5</v>
      </c>
      <c r="N46" s="23">
        <v>1.2E-2</v>
      </c>
      <c r="O46" s="23">
        <v>161</v>
      </c>
      <c r="P46" s="23">
        <v>473</v>
      </c>
      <c r="Q46" s="23">
        <v>1250</v>
      </c>
      <c r="R46" s="23">
        <v>2E-3</v>
      </c>
      <c r="S46" s="23">
        <v>0.17</v>
      </c>
      <c r="T46" s="23" t="s">
        <v>486</v>
      </c>
      <c r="U46" s="23" t="s">
        <v>486</v>
      </c>
      <c r="V46" s="23" t="s">
        <v>486</v>
      </c>
      <c r="W46" s="23">
        <v>0.38</v>
      </c>
      <c r="X46" s="23">
        <v>10700</v>
      </c>
      <c r="Y46" s="23">
        <v>0.04</v>
      </c>
      <c r="Z46" s="23">
        <v>0.06</v>
      </c>
      <c r="AA46" s="23">
        <v>2160</v>
      </c>
      <c r="AB46" s="23">
        <v>7.9</v>
      </c>
    </row>
    <row r="47" spans="1:28" x14ac:dyDescent="0.25">
      <c r="A47" s="7" t="s">
        <v>414</v>
      </c>
      <c r="B47" s="7" t="s">
        <v>415</v>
      </c>
      <c r="C47" s="18">
        <v>45278</v>
      </c>
      <c r="D47" s="19">
        <v>0.57986111111111105</v>
      </c>
      <c r="E47" s="7" t="s">
        <v>379</v>
      </c>
      <c r="F47" s="23">
        <v>5.0000000000000001E-3</v>
      </c>
      <c r="G47" s="23">
        <v>148</v>
      </c>
      <c r="H47" s="23" t="s">
        <v>498</v>
      </c>
      <c r="I47" s="23">
        <v>405</v>
      </c>
      <c r="J47" s="23">
        <v>22000</v>
      </c>
      <c r="K47" s="23">
        <v>2.2000000000000002</v>
      </c>
      <c r="L47" s="23">
        <v>5450</v>
      </c>
      <c r="M47" s="23">
        <v>54.5</v>
      </c>
      <c r="N47" s="23">
        <v>5.8000000000000003E-2</v>
      </c>
      <c r="O47" s="23">
        <v>181</v>
      </c>
      <c r="P47" s="23">
        <v>475</v>
      </c>
      <c r="Q47" s="23">
        <v>1270</v>
      </c>
      <c r="R47" s="23">
        <v>2E-3</v>
      </c>
      <c r="S47" s="23">
        <v>0.28999999999999998</v>
      </c>
      <c r="T47" s="23" t="s">
        <v>486</v>
      </c>
      <c r="U47" s="23" t="s">
        <v>486</v>
      </c>
      <c r="V47" s="23" t="s">
        <v>486</v>
      </c>
      <c r="W47" s="23">
        <v>0.61</v>
      </c>
      <c r="X47" s="23">
        <v>10700</v>
      </c>
      <c r="Y47" s="23">
        <v>0.03</v>
      </c>
      <c r="Z47" s="23">
        <v>5.7000000000000002E-2</v>
      </c>
      <c r="AA47" s="23">
        <v>2120</v>
      </c>
      <c r="AB47" s="23">
        <v>7.9</v>
      </c>
    </row>
    <row r="48" spans="1:28" x14ac:dyDescent="0.25">
      <c r="A48" s="7" t="s">
        <v>416</v>
      </c>
      <c r="B48" s="7" t="s">
        <v>417</v>
      </c>
      <c r="C48" s="18">
        <v>45278</v>
      </c>
      <c r="D48" s="19">
        <v>0.59375</v>
      </c>
      <c r="E48" s="7" t="s">
        <v>379</v>
      </c>
      <c r="F48" s="23">
        <v>5.0000000000000001E-3</v>
      </c>
      <c r="G48" s="23">
        <v>235</v>
      </c>
      <c r="H48" s="23" t="s">
        <v>498</v>
      </c>
      <c r="I48" s="23">
        <v>393</v>
      </c>
      <c r="J48" s="23">
        <v>21000</v>
      </c>
      <c r="K48" s="23">
        <v>2.9</v>
      </c>
      <c r="L48" s="23">
        <v>5370</v>
      </c>
      <c r="M48" s="23">
        <v>53.7</v>
      </c>
      <c r="N48" s="23">
        <v>8.0000000000000002E-3</v>
      </c>
      <c r="O48" s="23">
        <v>286</v>
      </c>
      <c r="P48" s="23">
        <v>465</v>
      </c>
      <c r="Q48" s="23">
        <v>1240</v>
      </c>
      <c r="R48" s="23" t="s">
        <v>500</v>
      </c>
      <c r="S48" s="23">
        <v>2.6</v>
      </c>
      <c r="T48" s="23" t="s">
        <v>486</v>
      </c>
      <c r="U48" s="23" t="s">
        <v>486</v>
      </c>
      <c r="V48" s="23" t="s">
        <v>486</v>
      </c>
      <c r="W48" s="23">
        <v>3.3</v>
      </c>
      <c r="X48" s="23">
        <v>10500</v>
      </c>
      <c r="Y48" s="23">
        <v>0.2</v>
      </c>
      <c r="Z48" s="23">
        <v>0.19</v>
      </c>
      <c r="AA48" s="23">
        <v>1930</v>
      </c>
      <c r="AB48" s="23">
        <v>8</v>
      </c>
    </row>
    <row r="49" spans="1:28" x14ac:dyDescent="0.25">
      <c r="A49" s="7" t="s">
        <v>418</v>
      </c>
      <c r="B49" s="7" t="s">
        <v>419</v>
      </c>
      <c r="C49" s="18">
        <v>45279</v>
      </c>
      <c r="D49" s="19">
        <v>0.375</v>
      </c>
      <c r="E49" s="7" t="s">
        <v>379</v>
      </c>
      <c r="F49" s="23" t="s">
        <v>497</v>
      </c>
      <c r="G49" s="23">
        <v>138</v>
      </c>
      <c r="H49" s="23" t="s">
        <v>498</v>
      </c>
      <c r="I49" s="23">
        <v>403</v>
      </c>
      <c r="J49" s="23">
        <v>20000</v>
      </c>
      <c r="K49" s="23">
        <v>2.5</v>
      </c>
      <c r="L49" s="23">
        <v>5290</v>
      </c>
      <c r="M49" s="23">
        <v>52.9</v>
      </c>
      <c r="N49" s="23">
        <v>8.9999999999999993E-3</v>
      </c>
      <c r="O49" s="23">
        <v>169</v>
      </c>
      <c r="P49" s="23">
        <v>471</v>
      </c>
      <c r="Q49" s="23">
        <v>1270</v>
      </c>
      <c r="R49" s="23">
        <v>2E-3</v>
      </c>
      <c r="S49" s="23">
        <v>0.28000000000000003</v>
      </c>
      <c r="T49" s="23" t="s">
        <v>486</v>
      </c>
      <c r="U49" s="23" t="s">
        <v>486</v>
      </c>
      <c r="V49" s="23" t="s">
        <v>486</v>
      </c>
      <c r="W49" s="23">
        <v>0.55000000000000004</v>
      </c>
      <c r="X49" s="23">
        <v>10800</v>
      </c>
      <c r="Y49" s="23">
        <v>0.06</v>
      </c>
      <c r="Z49" s="23">
        <v>7.8E-2</v>
      </c>
      <c r="AA49" s="23">
        <v>2020</v>
      </c>
      <c r="AB49" s="23">
        <v>7.9</v>
      </c>
    </row>
    <row r="50" spans="1:28" x14ac:dyDescent="0.25">
      <c r="A50" s="7" t="s">
        <v>420</v>
      </c>
      <c r="B50" s="7" t="s">
        <v>421</v>
      </c>
      <c r="C50" s="18">
        <v>45279</v>
      </c>
      <c r="D50" s="19">
        <v>0.3840277777777778</v>
      </c>
      <c r="E50" s="7" t="s">
        <v>379</v>
      </c>
      <c r="F50" s="23" t="s">
        <v>497</v>
      </c>
      <c r="G50" s="23">
        <v>148</v>
      </c>
      <c r="H50" s="23" t="s">
        <v>498</v>
      </c>
      <c r="I50" s="23">
        <v>403</v>
      </c>
      <c r="J50" s="23">
        <v>22000</v>
      </c>
      <c r="K50" s="23">
        <v>2.4</v>
      </c>
      <c r="L50" s="23">
        <v>5300</v>
      </c>
      <c r="M50" s="23">
        <v>53</v>
      </c>
      <c r="N50" s="23" t="s">
        <v>497</v>
      </c>
      <c r="O50" s="23">
        <v>180</v>
      </c>
      <c r="P50" s="23">
        <v>471</v>
      </c>
      <c r="Q50" s="23">
        <v>1250</v>
      </c>
      <c r="R50" s="23">
        <v>3.0000000000000001E-3</v>
      </c>
      <c r="S50" s="23">
        <v>0.31</v>
      </c>
      <c r="T50" s="23" t="s">
        <v>486</v>
      </c>
      <c r="U50" s="23" t="s">
        <v>486</v>
      </c>
      <c r="V50" s="23" t="s">
        <v>486</v>
      </c>
      <c r="W50" s="23">
        <v>0.63</v>
      </c>
      <c r="X50" s="23">
        <v>10600</v>
      </c>
      <c r="Y50" s="23">
        <v>0.1</v>
      </c>
      <c r="Z50" s="23">
        <v>0.12</v>
      </c>
      <c r="AA50" s="23">
        <v>2200</v>
      </c>
      <c r="AB50" s="23">
        <v>7.9</v>
      </c>
    </row>
    <row r="51" spans="1:28" x14ac:dyDescent="0.25">
      <c r="A51" s="7" t="s">
        <v>422</v>
      </c>
      <c r="B51" s="7" t="s">
        <v>423</v>
      </c>
      <c r="C51" s="18">
        <v>45279</v>
      </c>
      <c r="D51" s="19">
        <v>0.39930555555555558</v>
      </c>
      <c r="E51" s="7" t="s">
        <v>379</v>
      </c>
      <c r="F51" s="23">
        <v>7.0000000000000001E-3</v>
      </c>
      <c r="G51" s="23">
        <v>260</v>
      </c>
      <c r="H51" s="23" t="s">
        <v>498</v>
      </c>
      <c r="I51" s="23">
        <v>405</v>
      </c>
      <c r="J51" s="23">
        <v>21000</v>
      </c>
      <c r="K51" s="23">
        <v>2.2999999999999998</v>
      </c>
      <c r="L51" s="23">
        <v>5350</v>
      </c>
      <c r="M51" s="23">
        <v>53.5</v>
      </c>
      <c r="N51" s="23">
        <v>2.1000000000000001E-2</v>
      </c>
      <c r="O51" s="23">
        <v>317</v>
      </c>
      <c r="P51" s="23">
        <v>475</v>
      </c>
      <c r="Q51" s="23">
        <v>1260</v>
      </c>
      <c r="R51" s="23">
        <v>3.0000000000000001E-3</v>
      </c>
      <c r="S51" s="23">
        <v>0.03</v>
      </c>
      <c r="T51" s="23" t="s">
        <v>486</v>
      </c>
      <c r="U51" s="23" t="s">
        <v>486</v>
      </c>
      <c r="V51" s="23" t="s">
        <v>486</v>
      </c>
      <c r="W51" s="23">
        <v>0.3</v>
      </c>
      <c r="X51" s="23">
        <v>10800</v>
      </c>
      <c r="Y51" s="23">
        <v>0.03</v>
      </c>
      <c r="Z51" s="23">
        <v>5.6000000000000001E-2</v>
      </c>
      <c r="AA51" s="23">
        <v>2000</v>
      </c>
      <c r="AB51" s="23">
        <v>8</v>
      </c>
    </row>
    <row r="52" spans="1:28" x14ac:dyDescent="0.25">
      <c r="A52" s="7" t="s">
        <v>422</v>
      </c>
      <c r="B52" s="7" t="s">
        <v>424</v>
      </c>
      <c r="C52" s="18">
        <v>45279</v>
      </c>
      <c r="D52" s="19">
        <v>0.40277777777777773</v>
      </c>
      <c r="E52" s="7" t="s">
        <v>172</v>
      </c>
      <c r="F52" s="23" t="s">
        <v>497</v>
      </c>
      <c r="G52" s="23">
        <v>122</v>
      </c>
      <c r="H52" s="23" t="s">
        <v>498</v>
      </c>
      <c r="I52" s="23">
        <v>409</v>
      </c>
      <c r="J52" s="23">
        <v>20000</v>
      </c>
      <c r="K52" s="23">
        <v>2.5</v>
      </c>
      <c r="L52" s="23">
        <v>5520</v>
      </c>
      <c r="M52" s="23">
        <v>55.2</v>
      </c>
      <c r="N52" s="23" t="s">
        <v>497</v>
      </c>
      <c r="O52" s="23">
        <v>149</v>
      </c>
      <c r="P52" s="23">
        <v>477</v>
      </c>
      <c r="Q52" s="23">
        <v>1280</v>
      </c>
      <c r="R52" s="23" t="s">
        <v>500</v>
      </c>
      <c r="S52" s="23" t="s">
        <v>486</v>
      </c>
      <c r="T52" s="23" t="s">
        <v>486</v>
      </c>
      <c r="U52" s="23" t="s">
        <v>486</v>
      </c>
      <c r="V52" s="23" t="s">
        <v>486</v>
      </c>
      <c r="W52" s="23">
        <v>0.2</v>
      </c>
      <c r="X52" s="23">
        <v>10800</v>
      </c>
      <c r="Y52" s="23" t="s">
        <v>486</v>
      </c>
      <c r="Z52" s="23">
        <v>5.0000000000000001E-3</v>
      </c>
      <c r="AA52" s="23">
        <v>2160</v>
      </c>
      <c r="AB52" s="23">
        <v>8.1999999999999993</v>
      </c>
    </row>
    <row r="53" spans="1:28" x14ac:dyDescent="0.25">
      <c r="A53" s="7" t="s">
        <v>425</v>
      </c>
      <c r="B53" s="7" t="s">
        <v>426</v>
      </c>
      <c r="C53" s="18">
        <v>45279</v>
      </c>
      <c r="D53" s="19">
        <v>0.41666666666666669</v>
      </c>
      <c r="E53" s="7" t="s">
        <v>379</v>
      </c>
      <c r="F53" s="23">
        <v>5.0000000000000001E-3</v>
      </c>
      <c r="G53" s="23">
        <v>289</v>
      </c>
      <c r="H53" s="23" t="s">
        <v>498</v>
      </c>
      <c r="I53" s="23">
        <v>402</v>
      </c>
      <c r="J53" s="23">
        <v>21000</v>
      </c>
      <c r="K53" s="23">
        <v>2.6</v>
      </c>
      <c r="L53" s="23">
        <v>5340</v>
      </c>
      <c r="M53" s="23">
        <v>53.4</v>
      </c>
      <c r="N53" s="23" t="s">
        <v>497</v>
      </c>
      <c r="O53" s="23">
        <v>352</v>
      </c>
      <c r="P53" s="23">
        <v>469</v>
      </c>
      <c r="Q53" s="23">
        <v>1250</v>
      </c>
      <c r="R53" s="23">
        <v>3.0000000000000001E-3</v>
      </c>
      <c r="S53" s="23">
        <v>0.09</v>
      </c>
      <c r="T53" s="23" t="s">
        <v>486</v>
      </c>
      <c r="U53" s="23" t="s">
        <v>486</v>
      </c>
      <c r="V53" s="23" t="s">
        <v>486</v>
      </c>
      <c r="W53" s="23">
        <v>0.3</v>
      </c>
      <c r="X53" s="23">
        <v>10700</v>
      </c>
      <c r="Y53" s="23">
        <v>0.04</v>
      </c>
      <c r="Z53" s="23">
        <v>5.8999999999999997E-2</v>
      </c>
      <c r="AA53" s="23">
        <v>2320</v>
      </c>
      <c r="AB53" s="23">
        <v>8</v>
      </c>
    </row>
    <row r="54" spans="1:28" x14ac:dyDescent="0.25">
      <c r="A54" s="7" t="s">
        <v>428</v>
      </c>
      <c r="B54" s="7" t="s">
        <v>429</v>
      </c>
      <c r="C54" s="18">
        <v>45279</v>
      </c>
      <c r="D54" s="19">
        <v>0.4375</v>
      </c>
      <c r="E54" s="7" t="s">
        <v>379</v>
      </c>
      <c r="F54" s="23">
        <v>5.0000000000000001E-3</v>
      </c>
      <c r="G54" s="23">
        <v>217</v>
      </c>
      <c r="H54" s="23" t="s">
        <v>498</v>
      </c>
      <c r="I54" s="23">
        <v>402</v>
      </c>
      <c r="J54" s="23">
        <v>23000</v>
      </c>
      <c r="K54" s="23">
        <v>5.2</v>
      </c>
      <c r="L54" s="23">
        <v>5410</v>
      </c>
      <c r="M54" s="23">
        <v>54.1</v>
      </c>
      <c r="N54" s="23">
        <v>8.9999999999999993E-3</v>
      </c>
      <c r="O54" s="23">
        <v>265</v>
      </c>
      <c r="P54" s="23">
        <v>467</v>
      </c>
      <c r="Q54" s="23">
        <v>1240</v>
      </c>
      <c r="R54" s="23">
        <v>4.0000000000000001E-3</v>
      </c>
      <c r="S54" s="23">
        <v>0.05</v>
      </c>
      <c r="T54" s="23" t="s">
        <v>486</v>
      </c>
      <c r="U54" s="23" t="s">
        <v>486</v>
      </c>
      <c r="V54" s="23" t="s">
        <v>486</v>
      </c>
      <c r="W54" s="23">
        <v>0.41</v>
      </c>
      <c r="X54" s="23">
        <v>10600</v>
      </c>
      <c r="Y54" s="23">
        <v>0.03</v>
      </c>
      <c r="Z54" s="23">
        <v>5.1999999999999998E-2</v>
      </c>
      <c r="AA54" s="23">
        <v>2340</v>
      </c>
      <c r="AB54" s="23">
        <v>7.9</v>
      </c>
    </row>
    <row r="55" spans="1:28" x14ac:dyDescent="0.25">
      <c r="A55" s="7" t="s">
        <v>430</v>
      </c>
      <c r="B55" s="7" t="s">
        <v>431</v>
      </c>
      <c r="C55" s="18">
        <v>45279</v>
      </c>
      <c r="D55" s="19">
        <v>0.46875</v>
      </c>
      <c r="E55" s="7" t="s">
        <v>379</v>
      </c>
      <c r="F55" s="23" t="s">
        <v>497</v>
      </c>
      <c r="G55" s="23">
        <v>844</v>
      </c>
      <c r="H55" s="23">
        <v>22</v>
      </c>
      <c r="I55" s="23">
        <v>431</v>
      </c>
      <c r="J55" s="23">
        <v>21000</v>
      </c>
      <c r="K55" s="23">
        <v>4.5</v>
      </c>
      <c r="L55" s="23">
        <v>5480</v>
      </c>
      <c r="M55" s="23">
        <v>54.8</v>
      </c>
      <c r="N55" s="23">
        <v>0.01</v>
      </c>
      <c r="O55" s="23">
        <v>984</v>
      </c>
      <c r="P55" s="23">
        <v>490</v>
      </c>
      <c r="Q55" s="23">
        <v>1340</v>
      </c>
      <c r="R55" s="23">
        <v>3.0000000000000001E-3</v>
      </c>
      <c r="S55" s="23">
        <v>0.05</v>
      </c>
      <c r="T55" s="23" t="s">
        <v>486</v>
      </c>
      <c r="U55" s="23" t="s">
        <v>486</v>
      </c>
      <c r="V55" s="23" t="s">
        <v>486</v>
      </c>
      <c r="W55" s="23">
        <v>0.48</v>
      </c>
      <c r="X55" s="23">
        <v>11000</v>
      </c>
      <c r="Y55" s="23">
        <v>0.03</v>
      </c>
      <c r="Z55" s="23">
        <v>4.5999999999999999E-2</v>
      </c>
      <c r="AA55" s="23">
        <v>1960</v>
      </c>
      <c r="AB55" s="23">
        <v>8.6999999999999993</v>
      </c>
    </row>
    <row r="56" spans="1:28" x14ac:dyDescent="0.25">
      <c r="A56" s="7" t="s">
        <v>436</v>
      </c>
      <c r="B56" s="7" t="s">
        <v>437</v>
      </c>
      <c r="C56" s="18">
        <v>45279</v>
      </c>
      <c r="D56" s="19">
        <v>0.54513888888888895</v>
      </c>
      <c r="E56" s="7" t="s">
        <v>379</v>
      </c>
      <c r="F56" s="23" t="s">
        <v>497</v>
      </c>
      <c r="G56" s="23">
        <v>210</v>
      </c>
      <c r="H56" s="23" t="s">
        <v>498</v>
      </c>
      <c r="I56" s="23">
        <v>406</v>
      </c>
      <c r="J56" s="23">
        <v>21000</v>
      </c>
      <c r="K56" s="23">
        <v>2.7</v>
      </c>
      <c r="L56" s="23">
        <v>5440</v>
      </c>
      <c r="M56" s="23">
        <v>54.4</v>
      </c>
      <c r="N56" s="23">
        <v>1.0999999999999999E-2</v>
      </c>
      <c r="O56" s="23">
        <v>256</v>
      </c>
      <c r="P56" s="23">
        <v>477</v>
      </c>
      <c r="Q56" s="23">
        <v>1280</v>
      </c>
      <c r="R56" s="23">
        <v>3.0000000000000001E-3</v>
      </c>
      <c r="S56" s="23">
        <v>0.14000000000000001</v>
      </c>
      <c r="T56" s="23" t="s">
        <v>486</v>
      </c>
      <c r="U56" s="23" t="s">
        <v>486</v>
      </c>
      <c r="V56" s="23" t="s">
        <v>486</v>
      </c>
      <c r="W56" s="23">
        <v>0.49</v>
      </c>
      <c r="X56" s="23">
        <v>10800</v>
      </c>
      <c r="Y56" s="23">
        <v>0.04</v>
      </c>
      <c r="Z56" s="23">
        <v>6.4000000000000001E-2</v>
      </c>
      <c r="AA56" s="23">
        <v>2210</v>
      </c>
      <c r="AB56" s="23">
        <v>7.9</v>
      </c>
    </row>
    <row r="57" spans="1:28" x14ac:dyDescent="0.25">
      <c r="A57" s="7" t="s">
        <v>443</v>
      </c>
      <c r="B57" s="7" t="s">
        <v>444</v>
      </c>
      <c r="C57" s="18">
        <v>45386</v>
      </c>
      <c r="D57" s="19">
        <v>0.375</v>
      </c>
      <c r="E57" s="7" t="s">
        <v>379</v>
      </c>
      <c r="F57" s="23" t="s">
        <v>501</v>
      </c>
      <c r="G57" s="23">
        <v>127</v>
      </c>
      <c r="H57" s="23" t="s">
        <v>498</v>
      </c>
      <c r="I57" s="23">
        <v>429</v>
      </c>
      <c r="J57" s="23">
        <v>20300</v>
      </c>
      <c r="K57" s="23">
        <v>4.8</v>
      </c>
      <c r="L57" s="23">
        <v>5320</v>
      </c>
      <c r="M57" s="23">
        <v>53.2</v>
      </c>
      <c r="N57" s="23" t="s">
        <v>501</v>
      </c>
      <c r="O57" s="23">
        <v>154</v>
      </c>
      <c r="P57" s="23">
        <v>502</v>
      </c>
      <c r="Q57" s="23">
        <v>1350</v>
      </c>
      <c r="R57" s="23" t="s">
        <v>502</v>
      </c>
      <c r="S57" s="23">
        <v>0.03</v>
      </c>
      <c r="T57" s="23" t="s">
        <v>486</v>
      </c>
      <c r="U57" s="23" t="s">
        <v>486</v>
      </c>
      <c r="V57" s="23" t="s">
        <v>486</v>
      </c>
      <c r="W57" s="23">
        <v>0.62</v>
      </c>
      <c r="X57" s="23">
        <v>11500</v>
      </c>
      <c r="Y57" s="23" t="s">
        <v>486</v>
      </c>
      <c r="Z57" s="23">
        <v>1.4999999999999999E-2</v>
      </c>
      <c r="AA57" s="23">
        <v>2710</v>
      </c>
      <c r="AB57" s="23">
        <v>8.1</v>
      </c>
    </row>
    <row r="58" spans="1:28" x14ac:dyDescent="0.25">
      <c r="A58" s="7" t="s">
        <v>438</v>
      </c>
      <c r="B58" s="7" t="s">
        <v>439</v>
      </c>
      <c r="C58" s="18">
        <v>45386</v>
      </c>
      <c r="D58" s="19">
        <v>0.41666666666666669</v>
      </c>
      <c r="E58" s="7" t="s">
        <v>379</v>
      </c>
      <c r="F58" s="23" t="s">
        <v>501</v>
      </c>
      <c r="G58" s="23">
        <v>125</v>
      </c>
      <c r="H58" s="23" t="s">
        <v>498</v>
      </c>
      <c r="I58" s="23">
        <v>435</v>
      </c>
      <c r="J58" s="23">
        <v>21000</v>
      </c>
      <c r="K58" s="23">
        <v>3.5</v>
      </c>
      <c r="L58" s="23">
        <v>5370</v>
      </c>
      <c r="M58" s="23">
        <v>53.7</v>
      </c>
      <c r="N58" s="23" t="s">
        <v>501</v>
      </c>
      <c r="O58" s="23">
        <v>153</v>
      </c>
      <c r="P58" s="23">
        <v>512</v>
      </c>
      <c r="Q58" s="23">
        <v>1370</v>
      </c>
      <c r="R58" s="23" t="s">
        <v>502</v>
      </c>
      <c r="S58" s="23" t="s">
        <v>486</v>
      </c>
      <c r="T58" s="23" t="s">
        <v>486</v>
      </c>
      <c r="U58" s="23" t="s">
        <v>486</v>
      </c>
      <c r="V58" s="23" t="s">
        <v>486</v>
      </c>
      <c r="W58" s="23">
        <v>0.32</v>
      </c>
      <c r="X58" s="23">
        <v>11700</v>
      </c>
      <c r="Y58" s="23" t="s">
        <v>486</v>
      </c>
      <c r="Z58" s="23">
        <v>1.0999999999999999E-2</v>
      </c>
      <c r="AA58" s="23">
        <v>2600</v>
      </c>
      <c r="AB58" s="23">
        <v>8.1</v>
      </c>
    </row>
    <row r="59" spans="1:28" x14ac:dyDescent="0.25">
      <c r="A59" s="7" t="s">
        <v>447</v>
      </c>
      <c r="B59" s="7" t="s">
        <v>448</v>
      </c>
      <c r="C59" s="18">
        <v>45386</v>
      </c>
      <c r="D59" s="19">
        <v>0.4597222222222222</v>
      </c>
      <c r="E59" s="7" t="s">
        <v>379</v>
      </c>
      <c r="F59" s="23" t="s">
        <v>501</v>
      </c>
      <c r="G59" s="23">
        <v>135</v>
      </c>
      <c r="H59" s="23" t="s">
        <v>498</v>
      </c>
      <c r="I59" s="23">
        <v>433</v>
      </c>
      <c r="J59" s="23">
        <v>18500</v>
      </c>
      <c r="K59" s="23">
        <v>5.7</v>
      </c>
      <c r="L59" s="23">
        <v>5350</v>
      </c>
      <c r="M59" s="23">
        <v>53.5</v>
      </c>
      <c r="N59" s="23" t="s">
        <v>501</v>
      </c>
      <c r="O59" s="23">
        <v>164</v>
      </c>
      <c r="P59" s="23">
        <v>512</v>
      </c>
      <c r="Q59" s="23">
        <v>1380</v>
      </c>
      <c r="R59" s="23" t="s">
        <v>502</v>
      </c>
      <c r="S59" s="23">
        <v>0.48</v>
      </c>
      <c r="T59" s="23">
        <v>0.01</v>
      </c>
      <c r="U59" s="23">
        <v>0.02</v>
      </c>
      <c r="V59" s="23">
        <v>0.03</v>
      </c>
      <c r="W59" s="23">
        <v>1</v>
      </c>
      <c r="X59" s="23">
        <v>11700</v>
      </c>
      <c r="Y59" s="23">
        <v>0.08</v>
      </c>
      <c r="Z59" s="23">
        <v>9.1999999999999998E-2</v>
      </c>
      <c r="AA59" s="23">
        <v>2660</v>
      </c>
      <c r="AB59" s="23">
        <v>7.8</v>
      </c>
    </row>
    <row r="60" spans="1:28" x14ac:dyDescent="0.25">
      <c r="A60" s="7" t="s">
        <v>449</v>
      </c>
      <c r="B60" s="7" t="s">
        <v>450</v>
      </c>
      <c r="C60" s="18">
        <v>45386</v>
      </c>
      <c r="D60" s="19">
        <v>0.48958333333333331</v>
      </c>
      <c r="E60" s="7" t="s">
        <v>379</v>
      </c>
      <c r="F60" s="23" t="s">
        <v>501</v>
      </c>
      <c r="G60" s="23">
        <v>123</v>
      </c>
      <c r="H60" s="23" t="s">
        <v>498</v>
      </c>
      <c r="I60" s="23">
        <v>436</v>
      </c>
      <c r="J60" s="23">
        <v>18900</v>
      </c>
      <c r="K60" s="23">
        <v>3</v>
      </c>
      <c r="L60" s="23">
        <v>5350</v>
      </c>
      <c r="M60" s="23">
        <v>53.5</v>
      </c>
      <c r="N60" s="23" t="s">
        <v>501</v>
      </c>
      <c r="O60" s="23">
        <v>149</v>
      </c>
      <c r="P60" s="23">
        <v>515</v>
      </c>
      <c r="Q60" s="23">
        <v>1370</v>
      </c>
      <c r="R60" s="23" t="s">
        <v>502</v>
      </c>
      <c r="S60" s="23">
        <v>0.03</v>
      </c>
      <c r="T60" s="23" t="s">
        <v>486</v>
      </c>
      <c r="U60" s="23">
        <v>0.03</v>
      </c>
      <c r="V60" s="23">
        <v>0.03</v>
      </c>
      <c r="W60" s="23">
        <v>0.28999999999999998</v>
      </c>
      <c r="X60" s="23">
        <v>11600</v>
      </c>
      <c r="Y60" s="23" t="s">
        <v>486</v>
      </c>
      <c r="Z60" s="23">
        <v>2.1999999999999999E-2</v>
      </c>
      <c r="AA60" s="23">
        <v>2700</v>
      </c>
      <c r="AB60" s="23">
        <v>8.1</v>
      </c>
    </row>
    <row r="61" spans="1:28" x14ac:dyDescent="0.25">
      <c r="A61" s="7" t="s">
        <v>428</v>
      </c>
      <c r="B61" s="7" t="s">
        <v>429</v>
      </c>
      <c r="C61" s="18">
        <v>45386</v>
      </c>
      <c r="D61" s="19">
        <v>0.51041666666666663</v>
      </c>
      <c r="E61" s="7" t="s">
        <v>379</v>
      </c>
      <c r="F61" s="23" t="s">
        <v>501</v>
      </c>
      <c r="G61" s="23">
        <v>134</v>
      </c>
      <c r="H61" s="23" t="s">
        <v>498</v>
      </c>
      <c r="I61" s="23">
        <v>441</v>
      </c>
      <c r="J61" s="23">
        <v>19900</v>
      </c>
      <c r="K61" s="23">
        <v>3.9</v>
      </c>
      <c r="L61" s="23">
        <v>5360</v>
      </c>
      <c r="M61" s="23">
        <v>53.6</v>
      </c>
      <c r="N61" s="23" t="s">
        <v>501</v>
      </c>
      <c r="O61" s="23">
        <v>163</v>
      </c>
      <c r="P61" s="23">
        <v>517</v>
      </c>
      <c r="Q61" s="23">
        <v>1380</v>
      </c>
      <c r="R61" s="23" t="s">
        <v>502</v>
      </c>
      <c r="S61" s="23" t="s">
        <v>486</v>
      </c>
      <c r="T61" s="23" t="s">
        <v>486</v>
      </c>
      <c r="U61" s="23" t="s">
        <v>486</v>
      </c>
      <c r="V61" s="23" t="s">
        <v>486</v>
      </c>
      <c r="W61" s="23">
        <v>0.39</v>
      </c>
      <c r="X61" s="23">
        <v>11700</v>
      </c>
      <c r="Y61" s="23" t="s">
        <v>486</v>
      </c>
      <c r="Z61" s="23">
        <v>1.0999999999999999E-2</v>
      </c>
      <c r="AA61" s="23">
        <v>2730</v>
      </c>
      <c r="AB61" s="23">
        <v>8.1</v>
      </c>
    </row>
    <row r="62" spans="1:28" x14ac:dyDescent="0.25">
      <c r="A62" s="7" t="s">
        <v>420</v>
      </c>
      <c r="B62" s="7" t="s">
        <v>421</v>
      </c>
      <c r="C62" s="18">
        <v>45386</v>
      </c>
      <c r="D62" s="19">
        <v>0.55208333333333337</v>
      </c>
      <c r="E62" s="7" t="s">
        <v>379</v>
      </c>
      <c r="F62" s="23" t="s">
        <v>501</v>
      </c>
      <c r="G62" s="23">
        <v>130</v>
      </c>
      <c r="H62" s="23" t="s">
        <v>498</v>
      </c>
      <c r="I62" s="23">
        <v>446</v>
      </c>
      <c r="J62" s="23">
        <v>19300</v>
      </c>
      <c r="K62" s="23">
        <v>3.3</v>
      </c>
      <c r="L62" s="23">
        <v>5340</v>
      </c>
      <c r="M62" s="23">
        <v>53.4</v>
      </c>
      <c r="N62" s="23" t="s">
        <v>501</v>
      </c>
      <c r="O62" s="23">
        <v>159</v>
      </c>
      <c r="P62" s="23">
        <v>517</v>
      </c>
      <c r="Q62" s="23">
        <v>1380</v>
      </c>
      <c r="R62" s="23" t="s">
        <v>502</v>
      </c>
      <c r="S62" s="23" t="s">
        <v>486</v>
      </c>
      <c r="T62" s="23" t="s">
        <v>486</v>
      </c>
      <c r="U62" s="23" t="s">
        <v>486</v>
      </c>
      <c r="V62" s="23" t="s">
        <v>486</v>
      </c>
      <c r="W62" s="23">
        <v>0.39</v>
      </c>
      <c r="X62" s="23">
        <v>11800</v>
      </c>
      <c r="Y62" s="23" t="s">
        <v>486</v>
      </c>
      <c r="Z62" s="23">
        <v>1.6E-2</v>
      </c>
      <c r="AA62" s="23">
        <v>2660</v>
      </c>
      <c r="AB62" s="23">
        <v>8.1</v>
      </c>
    </row>
    <row r="63" spans="1:28" x14ac:dyDescent="0.25">
      <c r="A63" s="7" t="s">
        <v>418</v>
      </c>
      <c r="B63" s="7" t="s">
        <v>419</v>
      </c>
      <c r="C63" s="18">
        <v>45386</v>
      </c>
      <c r="D63" s="19">
        <v>0.58125000000000004</v>
      </c>
      <c r="E63" s="7" t="s">
        <v>379</v>
      </c>
      <c r="F63" s="23" t="s">
        <v>501</v>
      </c>
      <c r="G63" s="23">
        <v>127</v>
      </c>
      <c r="H63" s="23" t="s">
        <v>498</v>
      </c>
      <c r="I63" s="23">
        <v>444</v>
      </c>
      <c r="J63" s="23">
        <v>20200</v>
      </c>
      <c r="K63" s="23">
        <v>2.7</v>
      </c>
      <c r="L63" s="23">
        <v>5340</v>
      </c>
      <c r="M63" s="23">
        <v>53.4</v>
      </c>
      <c r="N63" s="23" t="s">
        <v>501</v>
      </c>
      <c r="O63" s="23">
        <v>155</v>
      </c>
      <c r="P63" s="23">
        <v>514</v>
      </c>
      <c r="Q63" s="23">
        <v>1380</v>
      </c>
      <c r="R63" s="23" t="s">
        <v>502</v>
      </c>
      <c r="S63" s="23" t="s">
        <v>486</v>
      </c>
      <c r="T63" s="23" t="s">
        <v>486</v>
      </c>
      <c r="U63" s="23" t="s">
        <v>486</v>
      </c>
      <c r="V63" s="23" t="s">
        <v>486</v>
      </c>
      <c r="W63" s="23">
        <v>0.24</v>
      </c>
      <c r="X63" s="23">
        <v>11700</v>
      </c>
      <c r="Y63" s="23" t="s">
        <v>486</v>
      </c>
      <c r="Z63" s="23">
        <v>8.9999999999999993E-3</v>
      </c>
      <c r="AA63" s="23">
        <v>2510</v>
      </c>
      <c r="AB63" s="23">
        <v>8.1</v>
      </c>
    </row>
    <row r="64" spans="1:28" x14ac:dyDescent="0.25">
      <c r="A64" s="7" t="s">
        <v>433</v>
      </c>
      <c r="B64" s="7" t="s">
        <v>455</v>
      </c>
      <c r="C64" s="18">
        <v>45386</v>
      </c>
      <c r="D64" s="19">
        <v>0.60763888888888884</v>
      </c>
      <c r="E64" s="7" t="s">
        <v>172</v>
      </c>
      <c r="F64" s="23" t="s">
        <v>501</v>
      </c>
      <c r="G64" s="23">
        <v>128</v>
      </c>
      <c r="H64" s="23" t="s">
        <v>498</v>
      </c>
      <c r="I64" s="23">
        <v>437</v>
      </c>
      <c r="J64" s="23">
        <v>20100</v>
      </c>
      <c r="K64" s="23">
        <v>2.2999999999999998</v>
      </c>
      <c r="L64" s="23">
        <v>5330</v>
      </c>
      <c r="M64" s="23">
        <v>53.3</v>
      </c>
      <c r="N64" s="23" t="s">
        <v>501</v>
      </c>
      <c r="O64" s="23">
        <v>156</v>
      </c>
      <c r="P64" s="23">
        <v>513</v>
      </c>
      <c r="Q64" s="23">
        <v>1380</v>
      </c>
      <c r="R64" s="23" t="s">
        <v>502</v>
      </c>
      <c r="S64" s="23" t="s">
        <v>486</v>
      </c>
      <c r="T64" s="23" t="s">
        <v>486</v>
      </c>
      <c r="U64" s="23" t="s">
        <v>486</v>
      </c>
      <c r="V64" s="23" t="s">
        <v>486</v>
      </c>
      <c r="W64" s="23">
        <v>0.2</v>
      </c>
      <c r="X64" s="23">
        <v>11700</v>
      </c>
      <c r="Y64" s="23" t="s">
        <v>486</v>
      </c>
      <c r="Z64" s="23" t="s">
        <v>497</v>
      </c>
      <c r="AA64" s="23">
        <v>2660</v>
      </c>
      <c r="AB64" s="23">
        <v>8.1</v>
      </c>
    </row>
    <row r="65" spans="1:28" x14ac:dyDescent="0.25">
      <c r="A65" s="7" t="s">
        <v>433</v>
      </c>
      <c r="B65" s="7" t="s">
        <v>434</v>
      </c>
      <c r="C65" s="18">
        <v>45386</v>
      </c>
      <c r="D65" s="19">
        <v>0.61805555555555558</v>
      </c>
      <c r="E65" s="7" t="s">
        <v>379</v>
      </c>
      <c r="F65" s="23" t="s">
        <v>501</v>
      </c>
      <c r="G65" s="23">
        <v>135</v>
      </c>
      <c r="H65" s="23" t="s">
        <v>498</v>
      </c>
      <c r="I65" s="23">
        <v>437</v>
      </c>
      <c r="J65" s="23">
        <v>18900</v>
      </c>
      <c r="K65" s="23">
        <v>5.7</v>
      </c>
      <c r="L65" s="23">
        <v>5360</v>
      </c>
      <c r="M65" s="23">
        <v>53.6</v>
      </c>
      <c r="N65" s="23">
        <v>0.12</v>
      </c>
      <c r="O65" s="23">
        <v>164</v>
      </c>
      <c r="P65" s="23">
        <v>512</v>
      </c>
      <c r="Q65" s="23">
        <v>1380</v>
      </c>
      <c r="R65" s="23" t="s">
        <v>502</v>
      </c>
      <c r="S65" s="23">
        <v>0.4</v>
      </c>
      <c r="T65" s="23">
        <v>0.01</v>
      </c>
      <c r="U65" s="23" t="s">
        <v>486</v>
      </c>
      <c r="V65" s="23">
        <v>0.02</v>
      </c>
      <c r="W65" s="23">
        <v>1.1000000000000001</v>
      </c>
      <c r="X65" s="23">
        <v>11700</v>
      </c>
      <c r="Y65" s="23">
        <v>0.08</v>
      </c>
      <c r="Z65" s="23">
        <v>0.13</v>
      </c>
      <c r="AA65" s="23">
        <v>2780</v>
      </c>
      <c r="AB65" s="23">
        <v>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CC68C8D22E9049BE3EA7D9447C3360" ma:contentTypeVersion="15" ma:contentTypeDescription="Create a new document." ma:contentTypeScope="" ma:versionID="fcbbbc40a12ac46684b43bf90ba3e450">
  <xsd:schema xmlns:xsd="http://www.w3.org/2001/XMLSchema" xmlns:xs="http://www.w3.org/2001/XMLSchema" xmlns:p="http://schemas.microsoft.com/office/2006/metadata/properties" xmlns:ns2="f6d828de-bc5c-4841-874f-0711facf1bc2" xmlns:ns3="6bb0d827-d3f1-4749-ad08-f138b5cd4a2d" targetNamespace="http://schemas.microsoft.com/office/2006/metadata/properties" ma:root="true" ma:fieldsID="521518e898333190e53bd01100297493" ns2:_="" ns3:_="">
    <xsd:import namespace="f6d828de-bc5c-4841-874f-0711facf1bc2"/>
    <xsd:import namespace="6bb0d827-d3f1-4749-ad08-f138b5cd4a2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d828de-bc5c-4841-874f-0711facf1b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85113c5-7036-4ae5-b6c9-3bc4b8da47fc"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b0d827-d3f1-4749-ad08-f138b5cd4a2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3d648e4-446c-4660-825d-a9b79f57ee49}" ma:internalName="TaxCatchAll" ma:showField="CatchAllData" ma:web="6bb0d827-d3f1-4749-ad08-f138b5cd4a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bb0d827-d3f1-4749-ad08-f138b5cd4a2d" xsi:nil="true"/>
    <lcf76f155ced4ddcb4097134ff3c332f xmlns="f6d828de-bc5c-4841-874f-0711facf1b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044022D-8F7E-455A-BC78-7138475E0C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d828de-bc5c-4841-874f-0711facf1bc2"/>
    <ds:schemaRef ds:uri="6bb0d827-d3f1-4749-ad08-f138b5cd4a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8BBE2B-D3F1-4DED-9731-A99F167C50CF}">
  <ds:schemaRefs>
    <ds:schemaRef ds:uri="http://schemas.microsoft.com/sharepoint/v3/contenttype/forms"/>
  </ds:schemaRefs>
</ds:datastoreItem>
</file>

<file path=customXml/itemProps3.xml><?xml version="1.0" encoding="utf-8"?>
<ds:datastoreItem xmlns:ds="http://schemas.openxmlformats.org/officeDocument/2006/customXml" ds:itemID="{6FEB1BEF-81F0-46AD-BBED-6D87B98CCD0F}">
  <ds:schemaRefs>
    <ds:schemaRef ds:uri="http://schemas.microsoft.com/office/infopath/2007/PartnerControls"/>
    <ds:schemaRef ds:uri="f6d828de-bc5c-4841-874f-0711facf1bc2"/>
    <ds:schemaRef ds:uri="http://purl.org/dc/dcmitype/"/>
    <ds:schemaRef ds:uri="http://purl.org/dc/elements/1.1/"/>
    <ds:schemaRef ds:uri="http://purl.org/dc/terms/"/>
    <ds:schemaRef ds:uri="6bb0d827-d3f1-4749-ad08-f138b5cd4a2d"/>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Metadata</vt:lpstr>
      <vt:lpstr>Methods</vt:lpstr>
      <vt:lpstr>SiteDetails</vt:lpstr>
      <vt:lpstr>InSituParameters</vt:lpstr>
      <vt:lpstr>MAFRL_samples</vt:lpstr>
      <vt:lpstr>CCWA_samples</vt:lpstr>
    </vt:vector>
  </TitlesOfParts>
  <Manager/>
  <Company>CSIRO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Donn, Mike (Environment, Waterford)</dc:creator>
  <cp:keywords/>
  <dc:description/>
  <cp:lastModifiedBy>Santiago Gil Escudero</cp:lastModifiedBy>
  <cp:revision/>
  <dcterms:created xsi:type="dcterms:W3CDTF">2024-07-08T03:41:45Z</dcterms:created>
  <dcterms:modified xsi:type="dcterms:W3CDTF">2025-10-14T07:27:01Z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0x01010030CC68C8D22E9049BE3EA7D9447C3360</vt:lpwstr>
  </property>
  <property fmtid="{D5CDD505-2E9C-101B-9397-08002B2CF9AE}" pid="3" name="MediaServiceImageTags">
    <vt:lpwstr/>
  </property>
</Properties>
</file>